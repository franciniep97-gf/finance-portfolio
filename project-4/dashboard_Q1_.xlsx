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3aa57bc681f1a5f7/Escritorio/POWER QUERY/"/>
    </mc:Choice>
  </mc:AlternateContent>
  <xr:revisionPtr revIDLastSave="4" documentId="8_{AAE23198-1FC7-437F-A129-B8FBA4445E35}" xr6:coauthVersionLast="47" xr6:coauthVersionMax="47" xr10:uidLastSave="{02C1E5E7-4C87-4680-BDDB-55AEAFDD7301}"/>
  <bookViews>
    <workbookView xWindow="195" yWindow="210" windowWidth="20295" windowHeight="10710" activeTab="2" xr2:uid="{47BEDFD0-FBAF-4646-9A66-3C4E0FFB839B}"/>
  </bookViews>
  <sheets>
    <sheet name="Dashboard" sheetId="2" r:id="rId1"/>
    <sheet name="Data" sheetId="1" state="hidden" r:id="rId2"/>
    <sheet name="Notes" sheetId="4" r:id="rId3"/>
    <sheet name="Sheet3" sheetId="3" state="hidden" r:id="rId4"/>
  </sheets>
  <definedNames>
    <definedName name="ExternalData_3" localSheetId="1" hidden="1">Data!$A$1:$M$41</definedName>
    <definedName name="Slicer_Category">#N/A</definedName>
    <definedName name="Slicer_Country">#N/A</definedName>
    <definedName name="Slicer_Month">#N/A</definedName>
    <definedName name="Slicer_Product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2" l="1"/>
  <c r="U4" i="2"/>
  <c r="O4" i="2"/>
  <c r="B4" i="2"/>
  <c r="I7" i="3"/>
  <c r="U5" i="2" s="1"/>
  <c r="Q41" i="1"/>
  <c r="P41" i="1"/>
  <c r="O41" i="1"/>
  <c r="N41" i="1"/>
  <c r="Q40" i="1"/>
  <c r="P40" i="1"/>
  <c r="O40" i="1"/>
  <c r="N40" i="1"/>
  <c r="Q39" i="1"/>
  <c r="P39" i="1"/>
  <c r="O39" i="1"/>
  <c r="N39" i="1"/>
  <c r="Q38" i="1"/>
  <c r="P38" i="1"/>
  <c r="O38" i="1"/>
  <c r="N38" i="1"/>
  <c r="Q37" i="1"/>
  <c r="P37" i="1"/>
  <c r="O37" i="1"/>
  <c r="N37" i="1"/>
  <c r="Q36" i="1"/>
  <c r="P36" i="1"/>
  <c r="O36" i="1"/>
  <c r="N36" i="1"/>
  <c r="Q35" i="1"/>
  <c r="P35" i="1"/>
  <c r="O35" i="1"/>
  <c r="N35" i="1"/>
  <c r="Q34" i="1"/>
  <c r="P34" i="1"/>
  <c r="O34" i="1"/>
  <c r="N34" i="1"/>
  <c r="Q33" i="1"/>
  <c r="P33" i="1"/>
  <c r="O33" i="1"/>
  <c r="N33" i="1"/>
  <c r="Q32" i="1"/>
  <c r="P32" i="1"/>
  <c r="O32" i="1"/>
  <c r="N32" i="1"/>
  <c r="Q31" i="1"/>
  <c r="P31" i="1"/>
  <c r="O31" i="1"/>
  <c r="N31" i="1"/>
  <c r="Q30" i="1"/>
  <c r="P30" i="1"/>
  <c r="O30" i="1"/>
  <c r="N30" i="1"/>
  <c r="Q29" i="1"/>
  <c r="P29" i="1"/>
  <c r="O29" i="1"/>
  <c r="N29" i="1"/>
  <c r="Q28" i="1"/>
  <c r="P28" i="1"/>
  <c r="O28" i="1"/>
  <c r="N28" i="1"/>
  <c r="Q27" i="1"/>
  <c r="P27" i="1"/>
  <c r="O27" i="1"/>
  <c r="N27" i="1"/>
  <c r="Q26" i="1"/>
  <c r="P26" i="1"/>
  <c r="O26" i="1"/>
  <c r="N26" i="1"/>
  <c r="Q25" i="1"/>
  <c r="P25" i="1"/>
  <c r="O25" i="1"/>
  <c r="N25" i="1"/>
  <c r="Q24" i="1"/>
  <c r="P24" i="1"/>
  <c r="O24" i="1"/>
  <c r="N24" i="1"/>
  <c r="Q23" i="1"/>
  <c r="P23" i="1"/>
  <c r="O23" i="1"/>
  <c r="N23" i="1"/>
  <c r="Q22" i="1"/>
  <c r="P22" i="1"/>
  <c r="O22" i="1"/>
  <c r="N22" i="1"/>
  <c r="Q21" i="1"/>
  <c r="P21" i="1"/>
  <c r="O21" i="1"/>
  <c r="N21" i="1"/>
  <c r="Q20" i="1"/>
  <c r="P20" i="1"/>
  <c r="O20" i="1"/>
  <c r="N20" i="1"/>
  <c r="Q19" i="1"/>
  <c r="P19" i="1"/>
  <c r="O19" i="1"/>
  <c r="N19" i="1"/>
  <c r="Q18" i="1"/>
  <c r="P18" i="1"/>
  <c r="O18" i="1"/>
  <c r="N18" i="1"/>
  <c r="Q17" i="1"/>
  <c r="P17" i="1"/>
  <c r="O17" i="1"/>
  <c r="N17" i="1"/>
  <c r="Q16" i="1"/>
  <c r="P16" i="1"/>
  <c r="O16" i="1"/>
  <c r="N16" i="1"/>
  <c r="Q15" i="1"/>
  <c r="P15" i="1"/>
  <c r="O15" i="1"/>
  <c r="N15" i="1"/>
  <c r="Q14" i="1"/>
  <c r="P14" i="1"/>
  <c r="O14" i="1"/>
  <c r="N14" i="1"/>
  <c r="Q13" i="1"/>
  <c r="P13" i="1"/>
  <c r="O13" i="1"/>
  <c r="N13" i="1"/>
  <c r="Q12" i="1"/>
  <c r="P12" i="1"/>
  <c r="O12" i="1"/>
  <c r="N12" i="1"/>
  <c r="Q11" i="1"/>
  <c r="P11" i="1"/>
  <c r="O11" i="1"/>
  <c r="N11" i="1"/>
  <c r="Q10" i="1"/>
  <c r="P10" i="1"/>
  <c r="O10" i="1"/>
  <c r="N10" i="1"/>
  <c r="Q9" i="1"/>
  <c r="P9" i="1"/>
  <c r="O9" i="1"/>
  <c r="N9" i="1"/>
  <c r="Q8" i="1"/>
  <c r="P8" i="1"/>
  <c r="O8" i="1"/>
  <c r="N8" i="1"/>
  <c r="Q7" i="1"/>
  <c r="P7" i="1"/>
  <c r="O7" i="1"/>
  <c r="N7" i="1"/>
  <c r="Q6" i="1"/>
  <c r="P6" i="1"/>
  <c r="O6" i="1"/>
  <c r="N6" i="1"/>
  <c r="Q5" i="1"/>
  <c r="P5" i="1"/>
  <c r="O5" i="1"/>
  <c r="N5" i="1"/>
  <c r="Q4" i="1"/>
  <c r="P4" i="1"/>
  <c r="O4" i="1"/>
  <c r="N4" i="1"/>
  <c r="Q3" i="1"/>
  <c r="P3" i="1"/>
  <c r="O3" i="1"/>
  <c r="N3" i="1"/>
  <c r="Q2" i="1"/>
  <c r="P2" i="1"/>
  <c r="O2" i="1"/>
  <c r="N2" i="1"/>
  <c r="I6" i="3" s="1"/>
  <c r="O5" i="2" s="1"/>
  <c r="I4" i="3" l="1"/>
  <c r="B5" i="2" s="1"/>
  <c r="R19" i="1"/>
  <c r="S19" i="1" s="1"/>
  <c r="T19" i="1" s="1"/>
  <c r="R20" i="1"/>
  <c r="S20" i="1" s="1"/>
  <c r="T20" i="1" s="1"/>
  <c r="R22" i="1"/>
  <c r="S22" i="1" s="1"/>
  <c r="T22" i="1" s="1"/>
  <c r="R23" i="1"/>
  <c r="R24" i="1"/>
  <c r="R26" i="1"/>
  <c r="R10" i="1"/>
  <c r="S10" i="1" s="1"/>
  <c r="T10" i="1" s="1"/>
  <c r="R35" i="1"/>
  <c r="S35" i="1" s="1"/>
  <c r="T35" i="1" s="1"/>
  <c r="R36" i="1"/>
  <c r="S36" i="1" s="1"/>
  <c r="T36" i="1" s="1"/>
  <c r="R38" i="1"/>
  <c r="S38" i="1" s="1"/>
  <c r="T38" i="1" s="1"/>
  <c r="R39" i="1"/>
  <c r="S39" i="1" s="1"/>
  <c r="T39" i="1" s="1"/>
  <c r="R40" i="1"/>
  <c r="S40" i="1" s="1"/>
  <c r="T40" i="1" s="1"/>
  <c r="R2" i="1"/>
  <c r="S2" i="1" s="1"/>
  <c r="R18" i="1"/>
  <c r="S18" i="1" s="1"/>
  <c r="T18" i="1" s="1"/>
  <c r="R13" i="1"/>
  <c r="S13" i="1" s="1"/>
  <c r="T13" i="1" s="1"/>
  <c r="R14" i="1"/>
  <c r="S14" i="1" s="1"/>
  <c r="T14" i="1" s="1"/>
  <c r="R34" i="1"/>
  <c r="S34" i="1" s="1"/>
  <c r="T34" i="1" s="1"/>
  <c r="R16" i="1"/>
  <c r="S16" i="1" s="1"/>
  <c r="T16" i="1" s="1"/>
  <c r="R3" i="1"/>
  <c r="S3" i="1" s="1"/>
  <c r="T3" i="1" s="1"/>
  <c r="R6" i="1"/>
  <c r="S6" i="1" s="1"/>
  <c r="T6" i="1" s="1"/>
  <c r="R7" i="1"/>
  <c r="S7" i="1" s="1"/>
  <c r="T7" i="1" s="1"/>
  <c r="S26" i="1"/>
  <c r="T26" i="1" s="1"/>
  <c r="R29" i="1"/>
  <c r="S29" i="1" s="1"/>
  <c r="T29" i="1" s="1"/>
  <c r="R30" i="1"/>
  <c r="S30" i="1" s="1"/>
  <c r="T30" i="1" s="1"/>
  <c r="R4" i="1"/>
  <c r="S4" i="1" s="1"/>
  <c r="T4" i="1" s="1"/>
  <c r="S23" i="1"/>
  <c r="T23" i="1" s="1"/>
  <c r="R17" i="1"/>
  <c r="S17" i="1" s="1"/>
  <c r="T17" i="1" s="1"/>
  <c r="S24" i="1"/>
  <c r="T24" i="1" s="1"/>
  <c r="R33" i="1"/>
  <c r="S33" i="1" s="1"/>
  <c r="T33" i="1" s="1"/>
  <c r="R5" i="1"/>
  <c r="S5" i="1" s="1"/>
  <c r="T5" i="1" s="1"/>
  <c r="R8" i="1"/>
  <c r="S8" i="1" s="1"/>
  <c r="T8" i="1" s="1"/>
  <c r="R11" i="1"/>
  <c r="S11" i="1" s="1"/>
  <c r="T11" i="1" s="1"/>
  <c r="R21" i="1"/>
  <c r="S21" i="1" s="1"/>
  <c r="T21" i="1" s="1"/>
  <c r="R27" i="1"/>
  <c r="S27" i="1" s="1"/>
  <c r="T27" i="1" s="1"/>
  <c r="R28" i="1"/>
  <c r="S28" i="1" s="1"/>
  <c r="T28" i="1" s="1"/>
  <c r="R37" i="1"/>
  <c r="S37" i="1" s="1"/>
  <c r="T37" i="1" s="1"/>
  <c r="R9" i="1"/>
  <c r="S9" i="1" s="1"/>
  <c r="T9" i="1" s="1"/>
  <c r="R12" i="1"/>
  <c r="S12" i="1" s="1"/>
  <c r="T12" i="1" s="1"/>
  <c r="R15" i="1"/>
  <c r="S15" i="1" s="1"/>
  <c r="T15" i="1" s="1"/>
  <c r="R25" i="1"/>
  <c r="S25" i="1" s="1"/>
  <c r="T25" i="1" s="1"/>
  <c r="R31" i="1"/>
  <c r="S31" i="1" s="1"/>
  <c r="T31" i="1" s="1"/>
  <c r="R32" i="1"/>
  <c r="S32" i="1" s="1"/>
  <c r="T32" i="1" s="1"/>
  <c r="R41" i="1"/>
  <c r="S41" i="1" s="1"/>
  <c r="T41" i="1" s="1"/>
  <c r="T2" i="1" l="1"/>
  <c r="I5" i="3"/>
  <c r="H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43D1DE-D2B8-4381-934B-2D760273F653}" keepAlive="1" name="Query - costos_productos" description="Connection to the 'costos_productos' query in the workbook." type="5" refreshedVersion="0" background="1">
    <dbPr connection="Provider=Microsoft.Mashup.OleDb.1;Data Source=$Workbook$;Location=costos_productos;Extended Properties=&quot;&quot;" command="SELECT * FROM [costos_productos]"/>
  </connection>
  <connection id="2" xr16:uid="{88C9B687-F027-4F9F-84A6-C58B4A46D5D5}" keepAlive="1" name="Query - ventas_Q1_raw" description="Connection to the 'ventas_Q1_raw' query in the workbook." type="5" refreshedVersion="8" background="1" saveData="1">
    <dbPr connection="Provider=Microsoft.Mashup.OleDb.1;Data Source=$Workbook$;Location=ventas_Q1_raw;Extended Properties=&quot;&quot;" command="SELECT * FROM [ventas_Q1_raw]"/>
  </connection>
  <connection id="3" xr16:uid="{7CB41AB9-A853-4A36-88A6-4BC8EDA29D50}" keepAlive="1" name="Query - ventas_Q1_raw (2)" description="Connection to the 'ventas_Q1_raw (2)' query in the workbook." type="5" refreshedVersion="8" background="1" saveData="1">
    <dbPr connection="Provider=Microsoft.Mashup.OleDb.1;Data Source=$Workbook$;Location=&quot;ventas_Q1_raw (2)&quot;;Extended Properties=&quot;&quot;" command="SELECT * FROM [ventas_Q1_raw (2)]"/>
  </connection>
</connections>
</file>

<file path=xl/sharedStrings.xml><?xml version="1.0" encoding="utf-8"?>
<sst xmlns="http://schemas.openxmlformats.org/spreadsheetml/2006/main" count="259" uniqueCount="97">
  <si>
    <t>Revenue</t>
  </si>
  <si>
    <t>COGS</t>
  </si>
  <si>
    <t>Profit</t>
  </si>
  <si>
    <t>Margin%</t>
  </si>
  <si>
    <t>Maria Gonzalez</t>
  </si>
  <si>
    <t>Camiseta Básica Blanca</t>
  </si>
  <si>
    <t>Tops</t>
  </si>
  <si>
    <t>Costa Rica</t>
  </si>
  <si>
    <t>Juan Perez</t>
  </si>
  <si>
    <t>Mexico</t>
  </si>
  <si>
    <t>Sofia Rodriguez</t>
  </si>
  <si>
    <t>Panama</t>
  </si>
  <si>
    <t>Diego Morales</t>
  </si>
  <si>
    <t>Camiseta Básica Negra</t>
  </si>
  <si>
    <t>Ana López</t>
  </si>
  <si>
    <t>Pantalón Denim Azul</t>
  </si>
  <si>
    <t>Bottoms</t>
  </si>
  <si>
    <t>Colombia</t>
  </si>
  <si>
    <t>Pedro Martínez</t>
  </si>
  <si>
    <t>Miguel Santos</t>
  </si>
  <si>
    <t>Sudadera Oversized Gris</t>
  </si>
  <si>
    <t>Outerwear</t>
  </si>
  <si>
    <t>Valentina Cruz</t>
  </si>
  <si>
    <t>Carlos Ruiz</t>
  </si>
  <si>
    <t>Vestido Midi Floral</t>
  </si>
  <si>
    <t>Dresses</t>
  </si>
  <si>
    <t>Isabella Vargas</t>
  </si>
  <si>
    <t>Laura Jimenez</t>
  </si>
  <si>
    <t>Chaqueta Denim Clásica</t>
  </si>
  <si>
    <t>Elena Torres</t>
  </si>
  <si>
    <t>Blusa Satin Negro</t>
  </si>
  <si>
    <t>Roberto Kim</t>
  </si>
  <si>
    <t>Falda Plisada Midi</t>
  </si>
  <si>
    <t>Andrés Patel</t>
  </si>
  <si>
    <t>Jeans Skinny Negro</t>
  </si>
  <si>
    <t>Camila Soto</t>
  </si>
  <si>
    <t>Fernando Lopez</t>
  </si>
  <si>
    <t>Unknown</t>
  </si>
  <si>
    <t>Polo Manga Larga</t>
  </si>
  <si>
    <t>Paula Ramirez</t>
  </si>
  <si>
    <t>Ricardo Mendez</t>
  </si>
  <si>
    <t>Lucia Fernandez</t>
  </si>
  <si>
    <t>Pantalón Cargo Beige</t>
  </si>
  <si>
    <t>Gabriel Torres</t>
  </si>
  <si>
    <t>Monica Silva</t>
  </si>
  <si>
    <t>Javier Ortiz</t>
  </si>
  <si>
    <t>Daniela Rojas</t>
  </si>
  <si>
    <t>Sebastian Luna</t>
  </si>
  <si>
    <t>Chaqueta Bomber Verde</t>
  </si>
  <si>
    <t>Natalia Diaz</t>
  </si>
  <si>
    <t>Alejandro Castro</t>
  </si>
  <si>
    <t>Victoria Herrera</t>
  </si>
  <si>
    <t>Martin Gutierrez</t>
  </si>
  <si>
    <t>Carolina Vega</t>
  </si>
  <si>
    <t>Eduardo Paz</t>
  </si>
  <si>
    <t>Adriana Molina</t>
  </si>
  <si>
    <t>Francisco Reyes</t>
  </si>
  <si>
    <t>Mariana Flores</t>
  </si>
  <si>
    <t>Jorge Paredes</t>
  </si>
  <si>
    <t>Sandra Rios</t>
  </si>
  <si>
    <t>Vestido Wrap Rojo</t>
  </si>
  <si>
    <t>Pablo Navarro</t>
  </si>
  <si>
    <t>Beatriz Roman</t>
  </si>
  <si>
    <t>Raul Aguilar</t>
  </si>
  <si>
    <t>Grand Total</t>
  </si>
  <si>
    <t>Sum of Revenue</t>
  </si>
  <si>
    <t>Month</t>
  </si>
  <si>
    <t>Country</t>
  </si>
  <si>
    <t>Order id</t>
  </si>
  <si>
    <t>Customer Name</t>
  </si>
  <si>
    <t>Product Name</t>
  </si>
  <si>
    <t>Category</t>
  </si>
  <si>
    <t>Quantity</t>
  </si>
  <si>
    <t>Unit Price</t>
  </si>
  <si>
    <t>Discount</t>
  </si>
  <si>
    <t>Shipping Cost</t>
  </si>
  <si>
    <t>Cogs Percentage</t>
  </si>
  <si>
    <t>Marketing Cost Per Unit</t>
  </si>
  <si>
    <t>Warehouse Cost Per Unit</t>
  </si>
  <si>
    <t>Total Cost</t>
  </si>
  <si>
    <t>Warehouse Cost</t>
  </si>
  <si>
    <t>Marketing Cost</t>
  </si>
  <si>
    <t>Average of Margin%</t>
  </si>
  <si>
    <t>Total Revenue</t>
  </si>
  <si>
    <t>Total Profit</t>
  </si>
  <si>
    <t>Average Order Value</t>
  </si>
  <si>
    <t>KPIs</t>
  </si>
  <si>
    <t>Q1 2024 PERFORMANCE DASHBOARD</t>
  </si>
  <si>
    <t>Total Orders</t>
  </si>
  <si>
    <t>Ene</t>
  </si>
  <si>
    <t>Feb</t>
  </si>
  <si>
    <t>Mar</t>
  </si>
  <si>
    <t>KEY INSIGHTS FOR ABROAD PRESENTATION</t>
  </si>
  <si>
    <r>
      <rPr>
        <b/>
        <sz val="11"/>
        <color theme="1"/>
        <rFont val="Bold"/>
      </rPr>
      <t>1. TOP PRODUCT IN COSTA RICA</t>
    </r>
    <r>
      <rPr>
        <sz val="11"/>
        <color theme="1"/>
        <rFont val="Bold"/>
      </rPr>
      <t xml:space="preserve">
Pantalón Denim Azul dominated Costa Rican sales in January, representing 
56% of revenue ($194.94). This product consistently performs well in this market.</t>
    </r>
  </si>
  <si>
    <r>
      <t xml:space="preserve">2. COSTA RICA SALES DECLINE                                                                                             </t>
    </r>
    <r>
      <rPr>
        <sz val="11"/>
        <color theme="1"/>
        <rFont val="Bold"/>
      </rPr>
      <t>Sales in Costa Rica dropped 67% in February. Investigation needed to determine if this was seasonal, competitive pressure, or operational issue.</t>
    </r>
  </si>
  <si>
    <r>
      <rPr>
        <b/>
        <sz val="11"/>
        <color theme="1"/>
        <rFont val="Bold"/>
      </rPr>
      <t>3. MEXICO GROWTH TREND</t>
    </r>
    <r>
      <rPr>
        <sz val="11"/>
        <color theme="1"/>
        <rFont val="Bold"/>
      </rPr>
      <t xml:space="preserve">                                                                                                       Mexico showed strong sales growth from February to March, driven primarily by dresses and tops. Vestido Midi Floral increased ~50% month-over-month, suggesting successful product-market fit.</t>
    </r>
  </si>
  <si>
    <r>
      <rPr>
        <b/>
        <sz val="11"/>
        <color theme="1"/>
        <rFont val="Bold"/>
      </rPr>
      <t>4. COLOMBIA OPPORTUNITY</t>
    </r>
    <r>
      <rPr>
        <sz val="11"/>
        <color theme="1"/>
        <rFont val="Bold"/>
      </rPr>
      <t xml:space="preserve">                                                                                                     Vestido Midi Floral shows zero in Colombia despite strong permance in Mexico. Recommed testing this product in Colombia market or investigating barriers to entry.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</si>
</sst>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
    <numFmt numFmtId="165" formatCode="[$$-409]#,##0.00"/>
    <numFmt numFmtId="166" formatCode="[$$-409]#,##0.0"/>
    <numFmt numFmtId="167" formatCode="0.0%"/>
  </numFmts>
  <fonts count="16">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sz val="8"/>
      <name val="Calibri"/>
      <family val="2"/>
      <scheme val="minor"/>
    </font>
    <font>
      <b/>
      <sz val="14"/>
      <color rgb="FF1F3864"/>
      <name val="Bold"/>
    </font>
    <font>
      <b/>
      <sz val="14"/>
      <color rgb="FF1F3864"/>
      <name val="Calibri"/>
      <family val="2"/>
      <scheme val="minor"/>
    </font>
    <font>
      <b/>
      <sz val="14"/>
      <color theme="1"/>
      <name val="Calibri"/>
      <family val="2"/>
      <scheme val="minor"/>
    </font>
    <font>
      <sz val="14"/>
      <color theme="1"/>
      <name val="Calibri"/>
      <family val="2"/>
      <scheme val="minor"/>
    </font>
    <font>
      <b/>
      <sz val="16"/>
      <color theme="0"/>
      <name val="Bold"/>
    </font>
    <font>
      <b/>
      <sz val="16"/>
      <color theme="1"/>
      <name val="Calibri"/>
      <family val="2"/>
      <scheme val="minor"/>
    </font>
    <font>
      <sz val="28"/>
      <color rgb="FF1F3864"/>
      <name val="Bold"/>
    </font>
    <font>
      <sz val="28"/>
      <color theme="1"/>
      <name val="Bold"/>
    </font>
    <font>
      <sz val="28"/>
      <color theme="1"/>
      <name val="Calibri"/>
      <family val="2"/>
      <scheme val="minor"/>
    </font>
    <font>
      <sz val="11"/>
      <color theme="1"/>
      <name val="Bold"/>
    </font>
    <font>
      <b/>
      <sz val="11"/>
      <color theme="1"/>
      <name val="Bold"/>
    </font>
  </fonts>
  <fills count="5">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theme="4" tint="0.59999389629810485"/>
      </bottom>
      <diagonal/>
    </border>
    <border>
      <left/>
      <right style="thin">
        <color theme="4" tint="0.59999389629810485"/>
      </right>
      <top/>
      <bottom/>
      <diagonal/>
    </border>
    <border>
      <left/>
      <right style="thin">
        <color theme="4" tint="0.59999389629810485"/>
      </right>
      <top style="thin">
        <color theme="4" tint="0.59999389629810485"/>
      </top>
      <bottom/>
      <diagonal/>
    </border>
    <border>
      <left/>
      <right style="thin">
        <color theme="4" tint="0.59999389629810485"/>
      </right>
      <top/>
      <bottom style="thin">
        <color theme="4" tint="0.59999389629810485"/>
      </bottom>
      <diagonal/>
    </border>
    <border>
      <left/>
      <right/>
      <top style="thin">
        <color theme="4" tint="0.59999389629810485"/>
      </top>
      <bottom/>
      <diagonal/>
    </border>
    <border>
      <left style="thin">
        <color theme="4" tint="0.59999389629810485"/>
      </left>
      <right/>
      <top/>
      <bottom style="thin">
        <color theme="4" tint="0.59999389629810485"/>
      </bottom>
      <diagonal/>
    </border>
    <border>
      <left style="thin">
        <color theme="4" tint="0.59999389629810485"/>
      </left>
      <right/>
      <top/>
      <bottom/>
      <diagonal/>
    </border>
    <border>
      <left style="thin">
        <color theme="4" tint="0.59999389629810485"/>
      </left>
      <right/>
      <top style="thin">
        <color theme="4" tint="0.59999389629810485"/>
      </top>
      <bottom/>
      <diagonal/>
    </border>
    <border>
      <left/>
      <right style="thin">
        <color rgb="FF1F3864"/>
      </right>
      <top/>
      <bottom/>
      <diagonal/>
    </border>
    <border>
      <left/>
      <right style="thin">
        <color rgb="FF1F3864"/>
      </right>
      <top style="thin">
        <color theme="4" tint="0.59999389629810485"/>
      </top>
      <bottom/>
      <diagonal/>
    </border>
    <border>
      <left style="thin">
        <color rgb="FF1F3864"/>
      </left>
      <right/>
      <top/>
      <bottom/>
      <diagonal/>
    </border>
    <border>
      <left style="thin">
        <color rgb="FF1F3864"/>
      </left>
      <right/>
      <top/>
      <bottom style="thin">
        <color rgb="FF1F3864"/>
      </bottom>
      <diagonal/>
    </border>
    <border>
      <left/>
      <right/>
      <top/>
      <bottom style="thin">
        <color rgb="FF1F3864"/>
      </bottom>
      <diagonal/>
    </border>
    <border>
      <left/>
      <right style="thin">
        <color rgb="FF1F3864"/>
      </right>
      <top/>
      <bottom style="thin">
        <color rgb="FF1F3864"/>
      </bottom>
      <diagonal/>
    </border>
    <border>
      <left/>
      <right style="thin">
        <color rgb="FF1F3864"/>
      </right>
      <top style="thin">
        <color rgb="FF1F3864"/>
      </top>
      <bottom/>
      <diagonal/>
    </border>
    <border>
      <left/>
      <right style="thin">
        <color rgb="FF1F3864"/>
      </right>
      <top/>
      <bottom style="thin">
        <color theme="4" tint="0.59999389629810485"/>
      </bottom>
      <diagonal/>
    </border>
    <border>
      <left style="thin">
        <color rgb="FF1F3864"/>
      </left>
      <right/>
      <top/>
      <bottom style="thin">
        <color theme="4" tint="0.59999389629810485"/>
      </bottom>
      <diagonal/>
    </border>
    <border>
      <left style="thin">
        <color rgb="FF1F3864"/>
      </left>
      <right/>
      <top style="thin">
        <color rgb="FF1F3864"/>
      </top>
      <bottom/>
      <diagonal/>
    </border>
    <border>
      <left/>
      <right/>
      <top style="thin">
        <color rgb="FF1F3864"/>
      </top>
      <bottom/>
      <diagonal/>
    </border>
  </borders>
  <cellStyleXfs count="3">
    <xf numFmtId="0" fontId="0" fillId="0" borderId="0"/>
    <xf numFmtId="9" fontId="1" fillId="0" borderId="0" applyFont="0" applyFill="0" applyBorder="0" applyAlignment="0" applyProtection="0"/>
    <xf numFmtId="0" fontId="2" fillId="0" borderId="0"/>
  </cellStyleXfs>
  <cellXfs count="69">
    <xf numFmtId="0" fontId="0" fillId="0" borderId="0" xfId="0"/>
    <xf numFmtId="9" fontId="0" fillId="0" borderId="0" xfId="0" applyNumberFormat="1"/>
    <xf numFmtId="14" fontId="0" fillId="0" borderId="0" xfId="0" applyNumberFormat="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7" fontId="0" fillId="0" borderId="0" xfId="0" applyNumberFormat="1"/>
    <xf numFmtId="9" fontId="0" fillId="0" borderId="0" xfId="1" applyFont="1"/>
    <xf numFmtId="166" fontId="0" fillId="0" borderId="0" xfId="0" applyNumberFormat="1"/>
    <xf numFmtId="0" fontId="0" fillId="0" borderId="1" xfId="0" applyBorder="1"/>
    <xf numFmtId="1" fontId="0" fillId="0" borderId="1" xfId="0" applyNumberFormat="1" applyBorder="1"/>
    <xf numFmtId="164" fontId="0" fillId="0" borderId="1" xfId="0" applyNumberFormat="1" applyBorder="1"/>
    <xf numFmtId="165" fontId="0" fillId="0" borderId="1" xfId="0" applyNumberFormat="1" applyBorder="1"/>
    <xf numFmtId="9" fontId="0" fillId="0" borderId="1" xfId="1" applyFont="1" applyBorder="1"/>
    <xf numFmtId="166" fontId="0" fillId="0" borderId="1" xfId="0" applyNumberFormat="1" applyBorder="1"/>
    <xf numFmtId="0" fontId="0" fillId="0" borderId="0" xfId="0" pivotButton="1"/>
    <xf numFmtId="0" fontId="0" fillId="4" borderId="0" xfId="0" applyFill="1"/>
    <xf numFmtId="0" fontId="0" fillId="0" borderId="3" xfId="0" applyBorder="1"/>
    <xf numFmtId="0" fontId="0" fillId="4" borderId="2" xfId="0" applyFill="1" applyBorder="1"/>
    <xf numFmtId="0" fontId="0" fillId="0" borderId="2" xfId="0" applyBorder="1"/>
    <xf numFmtId="0" fontId="0" fillId="0" borderId="5" xfId="0" applyBorder="1"/>
    <xf numFmtId="0" fontId="0" fillId="4" borderId="6" xfId="0" applyFill="1" applyBorder="1"/>
    <xf numFmtId="0" fontId="0" fillId="0" borderId="6" xfId="0" applyBorder="1"/>
    <xf numFmtId="0" fontId="0" fillId="0" borderId="4" xfId="0" applyBorder="1"/>
    <xf numFmtId="0" fontId="0" fillId="0" borderId="8" xfId="0" applyBorder="1"/>
    <xf numFmtId="0" fontId="0" fillId="0" borderId="7" xfId="0" applyBorder="1"/>
    <xf numFmtId="0" fontId="0" fillId="0" borderId="9" xfId="0" applyBorder="1"/>
    <xf numFmtId="0" fontId="0" fillId="0" borderId="11" xfId="0" applyBorder="1"/>
    <xf numFmtId="0" fontId="0" fillId="0" borderId="10" xfId="0" applyBorder="1"/>
    <xf numFmtId="0" fontId="6" fillId="3" borderId="10" xfId="0" applyFont="1" applyFill="1" applyBorder="1"/>
    <xf numFmtId="0" fontId="8" fillId="3" borderId="10" xfId="0" applyFont="1" applyFill="1" applyBorder="1"/>
    <xf numFmtId="165" fontId="11" fillId="3" borderId="10" xfId="0" applyNumberFormat="1" applyFont="1" applyFill="1" applyBorder="1"/>
    <xf numFmtId="0" fontId="11" fillId="3" borderId="10" xfId="0" applyFont="1" applyFill="1" applyBorder="1"/>
    <xf numFmtId="0" fontId="13" fillId="3" borderId="0" xfId="0" applyFont="1" applyFill="1"/>
    <xf numFmtId="0" fontId="13" fillId="3" borderId="10" xfId="0" applyFont="1" applyFill="1" applyBorder="1"/>
    <xf numFmtId="0" fontId="5" fillId="3" borderId="12" xfId="0" applyFont="1" applyFill="1" applyBorder="1"/>
    <xf numFmtId="0" fontId="5" fillId="3" borderId="0" xfId="0" applyFont="1" applyFill="1"/>
    <xf numFmtId="0" fontId="6" fillId="3" borderId="0" xfId="0" applyFont="1" applyFill="1"/>
    <xf numFmtId="0" fontId="7" fillId="3" borderId="0" xfId="0" applyFont="1" applyFill="1"/>
    <xf numFmtId="165" fontId="11" fillId="3" borderId="0" xfId="0" applyNumberFormat="1" applyFont="1" applyFill="1"/>
    <xf numFmtId="1" fontId="11" fillId="3" borderId="0" xfId="0" applyNumberFormat="1" applyFont="1" applyFill="1"/>
    <xf numFmtId="0" fontId="11" fillId="3" borderId="0" xfId="0" applyFont="1" applyFill="1"/>
    <xf numFmtId="0" fontId="12" fillId="3" borderId="0" xfId="0" applyFont="1" applyFill="1"/>
    <xf numFmtId="0" fontId="13" fillId="3" borderId="13" xfId="0" applyFont="1" applyFill="1" applyBorder="1"/>
    <xf numFmtId="0" fontId="13" fillId="3" borderId="14" xfId="0" applyFont="1" applyFill="1" applyBorder="1"/>
    <xf numFmtId="0" fontId="13" fillId="3" borderId="15" xfId="0" applyFont="1" applyFill="1" applyBorder="1"/>
    <xf numFmtId="0" fontId="13" fillId="4" borderId="0" xfId="0" applyFont="1" applyFill="1"/>
    <xf numFmtId="0" fontId="13" fillId="4" borderId="16" xfId="0" applyFont="1" applyFill="1" applyBorder="1"/>
    <xf numFmtId="0" fontId="13" fillId="4" borderId="10" xfId="0" applyFont="1" applyFill="1" applyBorder="1"/>
    <xf numFmtId="0" fontId="13" fillId="4" borderId="17" xfId="0" applyFont="1" applyFill="1" applyBorder="1"/>
    <xf numFmtId="0" fontId="13" fillId="4" borderId="18" xfId="0" applyFont="1" applyFill="1" applyBorder="1"/>
    <xf numFmtId="0" fontId="13" fillId="4" borderId="19" xfId="0" applyFont="1" applyFill="1" applyBorder="1"/>
    <xf numFmtId="0" fontId="13" fillId="4" borderId="20" xfId="0" applyFont="1" applyFill="1" applyBorder="1"/>
    <xf numFmtId="0" fontId="13" fillId="4" borderId="12" xfId="0" applyFont="1" applyFill="1" applyBorder="1"/>
    <xf numFmtId="0" fontId="13" fillId="4" borderId="2" xfId="0" applyFont="1" applyFill="1" applyBorder="1"/>
    <xf numFmtId="2" fontId="0" fillId="0" borderId="0" xfId="0" applyNumberFormat="1"/>
    <xf numFmtId="0" fontId="14" fillId="0" borderId="0" xfId="0" applyFont="1"/>
    <xf numFmtId="0" fontId="14" fillId="0" borderId="0" xfId="0" applyFont="1" applyAlignment="1">
      <alignment horizontal="left"/>
    </xf>
    <xf numFmtId="0" fontId="15" fillId="0" borderId="0" xfId="0" applyFont="1" applyAlignment="1">
      <alignment horizontal="center"/>
    </xf>
    <xf numFmtId="0" fontId="14" fillId="0" borderId="0" xfId="0" applyFont="1" applyAlignment="1">
      <alignment horizontal="left" wrapText="1"/>
    </xf>
    <xf numFmtId="0" fontId="0" fillId="0" borderId="0" xfId="0" applyAlignment="1">
      <alignment horizontal="left" wrapText="1"/>
    </xf>
    <xf numFmtId="0" fontId="15" fillId="0" borderId="0" xfId="0" applyFont="1" applyAlignment="1">
      <alignment horizontal="left" wrapText="1"/>
    </xf>
    <xf numFmtId="0" fontId="9" fillId="2" borderId="0" xfId="0" applyFont="1" applyFill="1" applyAlignment="1">
      <alignment horizontal="center"/>
    </xf>
    <xf numFmtId="0" fontId="10" fillId="2" borderId="0" xfId="0" applyFont="1" applyFill="1" applyAlignment="1">
      <alignment horizontal="center"/>
    </xf>
    <xf numFmtId="0" fontId="10" fillId="2" borderId="10" xfId="0" applyFont="1" applyFill="1" applyBorder="1" applyAlignment="1">
      <alignment horizontal="center"/>
    </xf>
    <xf numFmtId="165" fontId="11" fillId="3" borderId="12" xfId="0" applyNumberFormat="1" applyFont="1" applyFill="1" applyBorder="1" applyAlignment="1">
      <alignment horizontal="left"/>
    </xf>
    <xf numFmtId="165" fontId="11" fillId="3" borderId="0" xfId="0" applyNumberFormat="1" applyFont="1" applyFill="1" applyAlignment="1">
      <alignment horizontal="left"/>
    </xf>
    <xf numFmtId="0" fontId="3" fillId="0" borderId="0" xfId="0" applyFont="1" applyAlignment="1">
      <alignment horizontal="center"/>
    </xf>
  </cellXfs>
  <cellStyles count="3">
    <cellStyle name="Normal" xfId="0" builtinId="0"/>
    <cellStyle name="Normal 2" xfId="2" xr:uid="{971F7504-1EE8-4342-AD0C-3755898623C3}"/>
    <cellStyle name="Percent" xfId="1" builtinId="5"/>
  </cellStyles>
  <dxfs count="24">
    <dxf>
      <numFmt numFmtId="164" formatCode="[$$-409]#,##0"/>
    </dxf>
    <dxf>
      <numFmt numFmtId="164" formatCode="[$$-409]#,##0"/>
    </dxf>
    <dxf>
      <numFmt numFmtId="166" formatCode="[$$-409]#,##0.0"/>
    </dxf>
    <dxf>
      <numFmt numFmtId="164" formatCode="[$$-409]#,##0"/>
    </dxf>
    <dxf>
      <numFmt numFmtId="164" formatCode="[$$-409]#,##0"/>
    </dxf>
    <dxf>
      <numFmt numFmtId="165" formatCode="[$$-409]#,##0.00"/>
    </dxf>
    <dxf>
      <numFmt numFmtId="166" formatCode="[$$-409]#,##0.0"/>
    </dxf>
    <dxf>
      <numFmt numFmtId="164" formatCode="[$$-409]#,##0"/>
    </dxf>
    <dxf>
      <numFmt numFmtId="0" formatCode="General"/>
    </dxf>
    <dxf>
      <numFmt numFmtId="165" formatCode="[$$-409]#,##0.00"/>
    </dxf>
    <dxf>
      <numFmt numFmtId="167" formatCode="0.0%"/>
    </dxf>
    <dxf>
      <numFmt numFmtId="164" formatCode="[$$-409]#,##0"/>
    </dxf>
    <dxf>
      <numFmt numFmtId="1" formatCode="0"/>
    </dxf>
    <dxf>
      <numFmt numFmtId="0" formatCode="General"/>
    </dxf>
    <dxf>
      <numFmt numFmtId="0" formatCode="General"/>
    </dxf>
    <dxf>
      <numFmt numFmtId="0" formatCode="General"/>
    </dxf>
    <dxf>
      <numFmt numFmtId="19" formatCode="d/m/yyyy"/>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sz val="11"/>
        <color rgb="FF1F3864"/>
        <name val="bold"/>
      </font>
    </dxf>
    <dxf>
      <font>
        <color rgb="FFA9C4E4"/>
      </font>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s>
  <tableStyles count="2" defaultTableStyle="TableStyleMedium2" defaultPivotStyle="PivotStyleLight16">
    <tableStyle name="Data &amp; Calculations-style" pivot="0" count="3" xr9:uid="{B598D103-14A4-4086-8C7E-83CF7ED33D88}">
      <tableStyleElement type="headerRow" dxfId="23"/>
      <tableStyleElement type="firstRowStripe" dxfId="22"/>
      <tableStyleElement type="secondRowStripe" dxfId="21"/>
    </tableStyle>
    <tableStyle name="Slicer Style 1" pivot="0" table="0" count="8" xr9:uid="{754E5C35-1AF0-4B55-BC53-839D1B78D350}">
      <tableStyleElement type="wholeTable" dxfId="20"/>
      <tableStyleElement type="headerRow" dxfId="19"/>
    </tableStyle>
  </tableStyles>
  <colors>
    <mruColors>
      <color rgb="FF1F3864"/>
      <color rgb="FFF2F2F2"/>
      <color rgb="FF2E75B6"/>
      <color rgb="FFA9C4E4"/>
      <color rgb="FF70AD47"/>
    </mruColors>
  </colors>
  <extLst>
    <ext xmlns:x14="http://schemas.microsoft.com/office/spreadsheetml/2009/9/main" uri="{46F421CA-312F-682f-3DD2-61675219B42D}">
      <x14:dxfs count="6">
        <dxf>
          <fill>
            <patternFill>
              <bgColor theme="4"/>
            </patternFill>
          </fill>
        </dxf>
        <dxf>
          <font>
            <color rgb="FFF2F2F2"/>
          </font>
          <fill>
            <patternFill>
              <bgColor theme="1" tint="0.499984740745262"/>
            </patternFill>
          </fill>
        </dxf>
        <dxf>
          <font>
            <color rgb="FF1F3864"/>
          </font>
          <fill>
            <patternFill>
              <bgColor theme="0"/>
            </patternFill>
          </fill>
          <border>
            <left style="thin">
              <color rgb="FF1F3864"/>
            </left>
            <right style="thin">
              <color rgb="FF1F3864"/>
            </right>
            <top style="thin">
              <color rgb="FF1F3864"/>
            </top>
            <bottom style="thin">
              <color rgb="FF1F3864"/>
            </bottom>
          </border>
        </dxf>
        <dxf>
          <font>
            <b/>
            <i val="0"/>
            <color theme="0"/>
          </font>
          <fill>
            <patternFill>
              <bgColor rgb="FF1F3864"/>
            </patternFill>
          </fill>
        </dxf>
        <dxf>
          <font>
            <color rgb="FF1F3864"/>
          </font>
          <fill>
            <patternFill>
              <bgColor theme="0"/>
            </patternFill>
          </fill>
        </dxf>
        <dxf>
          <font>
            <b/>
            <i val="0"/>
            <color rgb="FF1F3864"/>
          </font>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[dashboard_Q1_exec.xlsx.xlsx]Sheet3!PivotTable2</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old"/>
                <a:ea typeface="+mn-ea"/>
                <a:cs typeface="+mn-cs"/>
              </a:defRPr>
            </a:pPr>
            <a:r>
              <a:rPr lang="es-CR" sz="1400" b="1">
                <a:solidFill>
                  <a:srgbClr val="1F3864"/>
                </a:solidFill>
                <a:latin typeface="Bold"/>
              </a:rPr>
              <a:t>Revenue</a:t>
            </a:r>
            <a:r>
              <a:rPr lang="es-CR" sz="1400" b="1" baseline="0">
                <a:solidFill>
                  <a:srgbClr val="1F3864"/>
                </a:solidFill>
                <a:latin typeface="Bold"/>
              </a:rPr>
              <a:t>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old"/>
              <a:ea typeface="+mn-ea"/>
              <a:cs typeface="+mn-cs"/>
            </a:defRPr>
          </a:pPr>
          <a:endParaRPr lang="es-CR"/>
        </a:p>
      </c:txPr>
    </c:title>
    <c:autoTitleDeleted val="0"/>
    <c:pivotFmts>
      <c:pivotFmt>
        <c:idx val="0"/>
        <c:spPr>
          <a:solidFill>
            <a:schemeClr val="accent1"/>
          </a:solidFill>
          <a:ln w="28575" cap="rnd">
            <a:solidFill>
              <a:srgbClr val="1F38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F3864"/>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B638-4FF3-8190-03268B959743}"/>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0-5B71-4CB5-8AC1-E0B2872435FA}"/>
              </c:ext>
            </c:extLst>
          </c:dPt>
          <c:cat>
            <c:strRef>
              <c:f>Sheet3!$A$4:$A$7</c:f>
              <c:strCache>
                <c:ptCount val="3"/>
                <c:pt idx="0">
                  <c:v>Ene</c:v>
                </c:pt>
                <c:pt idx="1">
                  <c:v>Feb</c:v>
                </c:pt>
                <c:pt idx="2">
                  <c:v>Mar</c:v>
                </c:pt>
              </c:strCache>
            </c:strRef>
          </c:cat>
          <c:val>
            <c:numRef>
              <c:f>Sheet3!$B$4:$B$7</c:f>
              <c:numCache>
                <c:formatCode>[$$-409]#,##0.00</c:formatCode>
                <c:ptCount val="3"/>
                <c:pt idx="0">
                  <c:v>914.72750000000008</c:v>
                </c:pt>
                <c:pt idx="1">
                  <c:v>784.61500000000012</c:v>
                </c:pt>
                <c:pt idx="2">
                  <c:v>899.60249999999996</c:v>
                </c:pt>
              </c:numCache>
            </c:numRef>
          </c:val>
          <c:smooth val="0"/>
          <c:extLst>
            <c:ext xmlns:c16="http://schemas.microsoft.com/office/drawing/2014/chart" uri="{C3380CC4-5D6E-409C-BE32-E72D297353CC}">
              <c16:uniqueId val="{00000001-5B71-4CB5-8AC1-E0B2872435FA}"/>
            </c:ext>
          </c:extLst>
        </c:ser>
        <c:dLbls>
          <c:showLegendKey val="0"/>
          <c:showVal val="0"/>
          <c:showCatName val="0"/>
          <c:showSerName val="0"/>
          <c:showPercent val="0"/>
          <c:showBubbleSize val="0"/>
        </c:dLbls>
        <c:smooth val="0"/>
        <c:axId val="831418783"/>
        <c:axId val="831407743"/>
      </c:lineChart>
      <c:catAx>
        <c:axId val="83141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1F3864"/>
                </a:solidFill>
                <a:latin typeface="Bold"/>
                <a:ea typeface="+mn-ea"/>
                <a:cs typeface="+mn-cs"/>
              </a:defRPr>
            </a:pPr>
            <a:endParaRPr lang="es-CR"/>
          </a:p>
        </c:txPr>
        <c:crossAx val="831407743"/>
        <c:crosses val="autoZero"/>
        <c:auto val="1"/>
        <c:lblAlgn val="ctr"/>
        <c:lblOffset val="100"/>
        <c:noMultiLvlLbl val="0"/>
      </c:catAx>
      <c:valAx>
        <c:axId val="831407743"/>
        <c:scaling>
          <c:orientation val="minMax"/>
          <c:min val="0"/>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1F3864"/>
                </a:solidFill>
                <a:latin typeface="Bold"/>
                <a:ea typeface="+mn-ea"/>
                <a:cs typeface="+mn-cs"/>
              </a:defRPr>
            </a:pPr>
            <a:endParaRPr lang="es-CR"/>
          </a:p>
        </c:txPr>
        <c:crossAx val="83141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F3864"/>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[dashboard_Q1_exec.xlsx.xlsx]Sheet3!PivotTable1</c:name>
    <c:fmtId val="15"/>
  </c:pivotSource>
  <c:chart>
    <c:title>
      <c:tx>
        <c:rich>
          <a:bodyPr rot="0" spcFirstLastPara="1" vertOverflow="ellipsis" vert="horz" wrap="square" anchor="ctr" anchorCtr="1"/>
          <a:lstStyle/>
          <a:p>
            <a:pPr>
              <a:defRPr sz="1400" b="1" i="0" u="none" strike="noStrike" kern="1200" spc="0" baseline="0">
                <a:solidFill>
                  <a:srgbClr val="1F3864"/>
                </a:solidFill>
                <a:latin typeface="Bold"/>
                <a:ea typeface="+mn-ea"/>
                <a:cs typeface="+mn-cs"/>
              </a:defRPr>
            </a:pPr>
            <a:r>
              <a:rPr lang="en-US" sz="1400" b="1">
                <a:solidFill>
                  <a:srgbClr val="1F3864"/>
                </a:solidFill>
                <a:latin typeface="Bold"/>
              </a:rPr>
              <a:t>Top</a:t>
            </a:r>
            <a:r>
              <a:rPr lang="en-US" sz="1400" b="1" baseline="0">
                <a:solidFill>
                  <a:srgbClr val="1F3864"/>
                </a:solidFill>
                <a:latin typeface="Bold"/>
              </a:rPr>
              <a:t> 5 Performance</a:t>
            </a:r>
            <a:endParaRPr lang="en-US" sz="1400" b="1">
              <a:solidFill>
                <a:srgbClr val="1F3864"/>
              </a:solidFill>
              <a:latin typeface="Bold"/>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3864"/>
              </a:solidFill>
              <a:latin typeface="Bold"/>
              <a:ea typeface="+mn-ea"/>
              <a:cs typeface="+mn-cs"/>
            </a:defRPr>
          </a:pPr>
          <a:endParaRPr lang="en-US"/>
        </a:p>
      </c:txPr>
    </c:title>
    <c:autoTitleDeleted val="0"/>
    <c:pivotFmts>
      <c:pivotFmt>
        <c:idx val="0"/>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Bold"/>
                  <a:ea typeface="+mn-ea"/>
                  <a:cs typeface="+mn-cs"/>
                </a:defRPr>
              </a:pPr>
              <a:endParaRPr lang="es-C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1233595800525"/>
          <c:y val="0.22263888888888889"/>
          <c:w val="0.68087664041994755"/>
          <c:h val="0.77736111111111106"/>
        </c:manualLayout>
      </c:layout>
      <c:barChart>
        <c:barDir val="bar"/>
        <c:grouping val="clustered"/>
        <c:varyColors val="0"/>
        <c:ser>
          <c:idx val="0"/>
          <c:order val="0"/>
          <c:tx>
            <c:strRef>
              <c:f>Sheet3!$B$11</c:f>
              <c:strCache>
                <c:ptCount val="1"/>
                <c:pt idx="0">
                  <c:v>Total</c:v>
                </c:pt>
              </c:strCache>
            </c:strRef>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Bold"/>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Sheet3!$A$12:$A$17</c:f>
              <c:strCache>
                <c:ptCount val="5"/>
                <c:pt idx="0">
                  <c:v>Pantalón Denim Azul</c:v>
                </c:pt>
                <c:pt idx="1">
                  <c:v>Camiseta Básica Negra</c:v>
                </c:pt>
                <c:pt idx="2">
                  <c:v>Vestido Midi Floral</c:v>
                </c:pt>
                <c:pt idx="3">
                  <c:v>Camiseta Básica Blanca</c:v>
                </c:pt>
                <c:pt idx="4">
                  <c:v>Sudadera Oversized Gris</c:v>
                </c:pt>
              </c:strCache>
            </c:strRef>
          </c:cat>
          <c:val>
            <c:numRef>
              <c:f>Sheet3!$B$12:$B$17</c:f>
              <c:numCache>
                <c:formatCode>[$$-409]#,##0.00</c:formatCode>
                <c:ptCount val="5"/>
                <c:pt idx="0">
                  <c:v>324.87</c:v>
                </c:pt>
                <c:pt idx="1">
                  <c:v>274.89999999999998</c:v>
                </c:pt>
                <c:pt idx="2">
                  <c:v>274.89</c:v>
                </c:pt>
                <c:pt idx="3">
                  <c:v>274.875</c:v>
                </c:pt>
                <c:pt idx="4">
                  <c:v>224.90999999999997</c:v>
                </c:pt>
              </c:numCache>
            </c:numRef>
          </c:val>
          <c:extLst>
            <c:ext xmlns:c16="http://schemas.microsoft.com/office/drawing/2014/chart" uri="{C3380CC4-5D6E-409C-BE32-E72D297353CC}">
              <c16:uniqueId val="{00000000-F788-44B2-BA9B-686564176D8C}"/>
            </c:ext>
          </c:extLst>
        </c:ser>
        <c:dLbls>
          <c:dLblPos val="outEnd"/>
          <c:showLegendKey val="0"/>
          <c:showVal val="1"/>
          <c:showCatName val="0"/>
          <c:showSerName val="0"/>
          <c:showPercent val="0"/>
          <c:showBubbleSize val="0"/>
        </c:dLbls>
        <c:gapWidth val="182"/>
        <c:axId val="1746605951"/>
        <c:axId val="1746585791"/>
      </c:barChart>
      <c:catAx>
        <c:axId val="17466059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1F3864"/>
                </a:solidFill>
                <a:latin typeface="Bold"/>
                <a:ea typeface="+mn-ea"/>
                <a:cs typeface="+mn-cs"/>
              </a:defRPr>
            </a:pPr>
            <a:endParaRPr lang="es-CR"/>
          </a:p>
        </c:txPr>
        <c:crossAx val="1746585791"/>
        <c:crosses val="autoZero"/>
        <c:auto val="1"/>
        <c:lblAlgn val="ctr"/>
        <c:lblOffset val="100"/>
        <c:noMultiLvlLbl val="0"/>
      </c:catAx>
      <c:valAx>
        <c:axId val="1746585791"/>
        <c:scaling>
          <c:orientation val="minMax"/>
        </c:scaling>
        <c:delete val="1"/>
        <c:axPos val="t"/>
        <c:numFmt formatCode="[$$-409]#,##0.00" sourceLinked="1"/>
        <c:majorTickMark val="none"/>
        <c:minorTickMark val="none"/>
        <c:tickLblPos val="nextTo"/>
        <c:crossAx val="1746605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F3864"/>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[dashboard_Q1_exec.xlsx.xlsx]Sheet3!PivotTable3</c:name>
    <c:fmtId val="17"/>
  </c:pivotSource>
  <c:chart>
    <c:title>
      <c:tx>
        <c:rich>
          <a:bodyPr rot="0" spcFirstLastPara="1" vertOverflow="ellipsis" vert="horz" wrap="square" anchor="ctr" anchorCtr="1"/>
          <a:lstStyle/>
          <a:p>
            <a:pPr>
              <a:defRPr sz="1400" b="1" i="0" u="none" strike="noStrike" kern="1200" baseline="0">
                <a:solidFill>
                  <a:srgbClr val="1F3864"/>
                </a:solidFill>
                <a:latin typeface="Bold"/>
                <a:ea typeface="+mn-ea"/>
                <a:cs typeface="+mn-cs"/>
              </a:defRPr>
            </a:pPr>
            <a:r>
              <a:rPr lang="en-US" sz="1400" b="1">
                <a:solidFill>
                  <a:srgbClr val="1F3864"/>
                </a:solidFill>
                <a:latin typeface="Bold"/>
              </a:rPr>
              <a:t>Revenue per Country</a:t>
            </a:r>
          </a:p>
        </c:rich>
      </c:tx>
      <c:overlay val="0"/>
      <c:spPr>
        <a:noFill/>
        <a:ln>
          <a:noFill/>
        </a:ln>
        <a:effectLst/>
      </c:spPr>
      <c:txPr>
        <a:bodyPr rot="0" spcFirstLastPara="1" vertOverflow="ellipsis" vert="horz" wrap="square" anchor="ctr" anchorCtr="1"/>
        <a:lstStyle/>
        <a:p>
          <a:pPr>
            <a:defRPr sz="1400" b="1" i="0" u="none" strike="noStrike" kern="1200" baseline="0">
              <a:solidFill>
                <a:srgbClr val="1F3864"/>
              </a:solidFill>
              <a:latin typeface="Bold"/>
              <a:ea typeface="+mn-ea"/>
              <a:cs typeface="+mn-cs"/>
            </a:defRPr>
          </a:pPr>
          <a:endParaRPr lang="es-C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Bold"/>
                  <a:ea typeface="+mn-ea"/>
                  <a:cs typeface="+mn-cs"/>
                </a:defRPr>
              </a:pPr>
              <a:endParaRPr lang="es-C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E75B6"/>
          </a:solidFill>
          <a:ln>
            <a:noFill/>
          </a:ln>
          <a:effectLst/>
        </c:spPr>
      </c:pivotFmt>
      <c:pivotFmt>
        <c:idx val="7"/>
        <c:spPr>
          <a:solidFill>
            <a:srgbClr val="A9C4E4"/>
          </a:solidFill>
          <a:ln>
            <a:noFill/>
          </a:ln>
          <a:effectLst/>
        </c:spPr>
      </c:pivotFmt>
      <c:pivotFmt>
        <c:idx val="8"/>
        <c:spPr>
          <a:solidFill>
            <a:srgbClr val="70AD47"/>
          </a:solidFill>
          <a:ln>
            <a:noFill/>
          </a:ln>
          <a:effectLst/>
        </c:spPr>
      </c:pivotFmt>
      <c:pivotFmt>
        <c:idx val="9"/>
        <c:spPr>
          <a:solidFill>
            <a:srgbClr val="1F3864"/>
          </a:solidFill>
          <a:ln>
            <a:noFill/>
          </a:ln>
          <a:effectLst/>
        </c:spPr>
      </c:pivotFmt>
    </c:pivotFmts>
    <c:plotArea>
      <c:layout/>
      <c:pieChart>
        <c:varyColors val="1"/>
        <c:ser>
          <c:idx val="0"/>
          <c:order val="0"/>
          <c:tx>
            <c:strRef>
              <c:f>Sheet3!$B$27</c:f>
              <c:strCache>
                <c:ptCount val="1"/>
                <c:pt idx="0">
                  <c:v>Total</c:v>
                </c:pt>
              </c:strCache>
            </c:strRef>
          </c:tx>
          <c:dPt>
            <c:idx val="0"/>
            <c:bubble3D val="0"/>
            <c:spPr>
              <a:solidFill>
                <a:srgbClr val="2E75B6"/>
              </a:solidFill>
              <a:ln>
                <a:noFill/>
              </a:ln>
              <a:effectLst/>
            </c:spPr>
            <c:extLst>
              <c:ext xmlns:c16="http://schemas.microsoft.com/office/drawing/2014/chart" uri="{C3380CC4-5D6E-409C-BE32-E72D297353CC}">
                <c16:uniqueId val="{00000001-A388-4B8B-8E48-730757621663}"/>
              </c:ext>
            </c:extLst>
          </c:dPt>
          <c:dPt>
            <c:idx val="1"/>
            <c:bubble3D val="0"/>
            <c:spPr>
              <a:solidFill>
                <a:srgbClr val="A9C4E4"/>
              </a:solidFill>
              <a:ln>
                <a:noFill/>
              </a:ln>
              <a:effectLst/>
            </c:spPr>
            <c:extLst>
              <c:ext xmlns:c16="http://schemas.microsoft.com/office/drawing/2014/chart" uri="{C3380CC4-5D6E-409C-BE32-E72D297353CC}">
                <c16:uniqueId val="{00000003-A388-4B8B-8E48-730757621663}"/>
              </c:ext>
            </c:extLst>
          </c:dPt>
          <c:dPt>
            <c:idx val="2"/>
            <c:bubble3D val="0"/>
            <c:spPr>
              <a:solidFill>
                <a:srgbClr val="70AD47"/>
              </a:solidFill>
              <a:ln>
                <a:noFill/>
              </a:ln>
              <a:effectLst/>
            </c:spPr>
            <c:extLst>
              <c:ext xmlns:c16="http://schemas.microsoft.com/office/drawing/2014/chart" uri="{C3380CC4-5D6E-409C-BE32-E72D297353CC}">
                <c16:uniqueId val="{00000005-A388-4B8B-8E48-730757621663}"/>
              </c:ext>
            </c:extLst>
          </c:dPt>
          <c:dPt>
            <c:idx val="3"/>
            <c:bubble3D val="0"/>
            <c:spPr>
              <a:solidFill>
                <a:srgbClr val="1F3864"/>
              </a:solidFill>
              <a:ln>
                <a:noFill/>
              </a:ln>
              <a:effectLst/>
            </c:spPr>
            <c:extLst>
              <c:ext xmlns:c16="http://schemas.microsoft.com/office/drawing/2014/chart" uri="{C3380CC4-5D6E-409C-BE32-E72D297353CC}">
                <c16:uniqueId val="{00000007-A388-4B8B-8E48-730757621663}"/>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Bold"/>
                    <a:ea typeface="+mn-ea"/>
                    <a:cs typeface="+mn-cs"/>
                  </a:defRPr>
                </a:pPr>
                <a:endParaRPr lang="es-CR"/>
              </a:p>
            </c:txPr>
            <c:dLblPos val="in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Sheet3!$A$28:$A$32</c:f>
              <c:strCache>
                <c:ptCount val="4"/>
                <c:pt idx="0">
                  <c:v>Colombia</c:v>
                </c:pt>
                <c:pt idx="1">
                  <c:v>Costa Rica</c:v>
                </c:pt>
                <c:pt idx="2">
                  <c:v>Mexico</c:v>
                </c:pt>
                <c:pt idx="3">
                  <c:v>Panama</c:v>
                </c:pt>
              </c:strCache>
            </c:strRef>
          </c:cat>
          <c:val>
            <c:numRef>
              <c:f>Sheet3!$B$28:$B$32</c:f>
              <c:numCache>
                <c:formatCode>[$$-409]#,##0.00</c:formatCode>
                <c:ptCount val="4"/>
                <c:pt idx="0">
                  <c:v>704.72500000000002</c:v>
                </c:pt>
                <c:pt idx="1">
                  <c:v>759.82249999999999</c:v>
                </c:pt>
                <c:pt idx="2">
                  <c:v>574.69000000000005</c:v>
                </c:pt>
                <c:pt idx="3">
                  <c:v>559.7075000000001</c:v>
                </c:pt>
              </c:numCache>
            </c:numRef>
          </c:val>
          <c:extLst>
            <c:ext xmlns:c16="http://schemas.microsoft.com/office/drawing/2014/chart" uri="{C3380CC4-5D6E-409C-BE32-E72D297353CC}">
              <c16:uniqueId val="{00000008-A388-4B8B-8E48-73075762166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1F3864"/>
              </a:solidFill>
              <a:latin typeface="Bold"/>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F3864"/>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[dashboard_Q1_exec.xlsx.xlsx]Sheet3!PivotTable4</c:name>
    <c:fmtId val="3"/>
  </c:pivotSource>
  <c:chart>
    <c:title>
      <c:tx>
        <c:rich>
          <a:bodyPr rot="0" spcFirstLastPara="1" vertOverflow="ellipsis" vert="horz" wrap="square" anchor="ctr" anchorCtr="1"/>
          <a:lstStyle/>
          <a:p>
            <a:pPr>
              <a:defRPr sz="1400" b="1" i="0" u="none" strike="noStrike" kern="1200" spc="0" baseline="0">
                <a:solidFill>
                  <a:srgbClr val="1F3864"/>
                </a:solidFill>
                <a:latin typeface="Bold"/>
                <a:ea typeface="+mn-ea"/>
                <a:cs typeface="+mn-cs"/>
              </a:defRPr>
            </a:pPr>
            <a:r>
              <a:rPr lang="en-US" sz="1400" b="1">
                <a:solidFill>
                  <a:srgbClr val="1F3864"/>
                </a:solidFill>
                <a:latin typeface="Bold"/>
              </a:rPr>
              <a:t>Margin % Product Category</a:t>
            </a:r>
            <a:r>
              <a:rPr lang="en-US" sz="1400" b="1" baseline="0">
                <a:solidFill>
                  <a:srgbClr val="1F3864"/>
                </a:solidFill>
                <a:latin typeface="Bold"/>
              </a:rPr>
              <a:t> </a:t>
            </a:r>
            <a:endParaRPr lang="en-US" sz="1400" b="1">
              <a:solidFill>
                <a:srgbClr val="1F3864"/>
              </a:solidFill>
              <a:latin typeface="Bold"/>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3864"/>
              </a:solidFill>
              <a:latin typeface="Bold"/>
              <a:ea typeface="+mn-ea"/>
              <a:cs typeface="+mn-cs"/>
            </a:defRPr>
          </a:pPr>
          <a:endParaRPr lang="en-US"/>
        </a:p>
      </c:txPr>
    </c:title>
    <c:autoTitleDeleted val="0"/>
    <c:pivotFmts>
      <c:pivotFmt>
        <c:idx val="0"/>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Sheet3!$B$36</c:f>
              <c:strCache>
                <c:ptCount val="1"/>
                <c:pt idx="0">
                  <c:v>Total</c:v>
                </c:pt>
              </c:strCache>
            </c:strRef>
          </c:tx>
          <c:spPr>
            <a:solidFill>
              <a:srgbClr val="2E75B6"/>
            </a:solidFill>
            <a:ln>
              <a:noFill/>
            </a:ln>
            <a:effectLst/>
          </c:spPr>
          <c:invertIfNegative val="0"/>
          <c:cat>
            <c:strRef>
              <c:f>Sheet3!$A$37:$A$41</c:f>
              <c:strCache>
                <c:ptCount val="4"/>
                <c:pt idx="0">
                  <c:v>Bottoms</c:v>
                </c:pt>
                <c:pt idx="1">
                  <c:v>Dresses</c:v>
                </c:pt>
                <c:pt idx="2">
                  <c:v>Outerwear</c:v>
                </c:pt>
                <c:pt idx="3">
                  <c:v>Tops</c:v>
                </c:pt>
              </c:strCache>
            </c:strRef>
          </c:cat>
          <c:val>
            <c:numRef>
              <c:f>Sheet3!$B$37:$B$41</c:f>
              <c:numCache>
                <c:formatCode>0%</c:formatCode>
                <c:ptCount val="4"/>
                <c:pt idx="0">
                  <c:v>0.35137776215895139</c:v>
                </c:pt>
                <c:pt idx="1">
                  <c:v>0.34871574598838234</c:v>
                </c:pt>
                <c:pt idx="2">
                  <c:v>0.32923119237358139</c:v>
                </c:pt>
                <c:pt idx="3">
                  <c:v>0.35926447644467363</c:v>
                </c:pt>
              </c:numCache>
            </c:numRef>
          </c:val>
          <c:extLst>
            <c:ext xmlns:c16="http://schemas.microsoft.com/office/drawing/2014/chart" uri="{C3380CC4-5D6E-409C-BE32-E72D297353CC}">
              <c16:uniqueId val="{00000000-8D27-43D8-A648-E58F63AB1599}"/>
            </c:ext>
          </c:extLst>
        </c:ser>
        <c:dLbls>
          <c:showLegendKey val="0"/>
          <c:showVal val="0"/>
          <c:showCatName val="0"/>
          <c:showSerName val="0"/>
          <c:showPercent val="0"/>
          <c:showBubbleSize val="0"/>
        </c:dLbls>
        <c:gapWidth val="219"/>
        <c:overlap val="-27"/>
        <c:axId val="1746597311"/>
        <c:axId val="1746581951"/>
      </c:barChart>
      <c:catAx>
        <c:axId val="174659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1F3864"/>
                </a:solidFill>
                <a:latin typeface="Bold"/>
                <a:ea typeface="+mn-ea"/>
                <a:cs typeface="+mn-cs"/>
              </a:defRPr>
            </a:pPr>
            <a:endParaRPr lang="es-CR"/>
          </a:p>
        </c:txPr>
        <c:crossAx val="1746581951"/>
        <c:crosses val="autoZero"/>
        <c:auto val="1"/>
        <c:lblAlgn val="ctr"/>
        <c:lblOffset val="100"/>
        <c:noMultiLvlLbl val="0"/>
      </c:catAx>
      <c:valAx>
        <c:axId val="17465819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1F3864"/>
                </a:solidFill>
                <a:latin typeface="Bold"/>
                <a:ea typeface="+mn-ea"/>
                <a:cs typeface="+mn-cs"/>
              </a:defRPr>
            </a:pPr>
            <a:endParaRPr lang="es-CR"/>
          </a:p>
        </c:txPr>
        <c:crossAx val="17465973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F3864"/>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22</xdr:row>
      <xdr:rowOff>65181</xdr:rowOff>
    </xdr:from>
    <xdr:to>
      <xdr:col>14</xdr:col>
      <xdr:colOff>0</xdr:colOff>
      <xdr:row>39</xdr:row>
      <xdr:rowOff>180474</xdr:rowOff>
    </xdr:to>
    <xdr:graphicFrame macro="">
      <xdr:nvGraphicFramePr>
        <xdr:cNvPr id="2" name="Chart 1">
          <a:extLst>
            <a:ext uri="{FF2B5EF4-FFF2-40B4-BE49-F238E27FC236}">
              <a16:creationId xmlns:a16="http://schemas.microsoft.com/office/drawing/2014/main" id="{1F8A03CE-26CA-1D7B-DF63-8A0707B44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1409</xdr:colOff>
      <xdr:row>23</xdr:row>
      <xdr:rowOff>4278</xdr:rowOff>
    </xdr:from>
    <xdr:to>
      <xdr:col>26</xdr:col>
      <xdr:colOff>607217</xdr:colOff>
      <xdr:row>39</xdr:row>
      <xdr:rowOff>178594</xdr:rowOff>
    </xdr:to>
    <xdr:graphicFrame macro="">
      <xdr:nvGraphicFramePr>
        <xdr:cNvPr id="3" name="Chart 7">
          <a:extLst>
            <a:ext uri="{FF2B5EF4-FFF2-40B4-BE49-F238E27FC236}">
              <a16:creationId xmlns:a16="http://schemas.microsoft.com/office/drawing/2014/main" id="{C7CEECF3-8BAA-C9C8-C7D4-ACBE1A9AF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10026</xdr:colOff>
      <xdr:row>39</xdr:row>
      <xdr:rowOff>190498</xdr:rowOff>
    </xdr:from>
    <xdr:to>
      <xdr:col>14</xdr:col>
      <xdr:colOff>3259</xdr:colOff>
      <xdr:row>56</xdr:row>
      <xdr:rowOff>190499</xdr:rowOff>
    </xdr:to>
    <xdr:graphicFrame macro="">
      <xdr:nvGraphicFramePr>
        <xdr:cNvPr id="4" name="Chart 6">
          <a:extLst>
            <a:ext uri="{FF2B5EF4-FFF2-40B4-BE49-F238E27FC236}">
              <a16:creationId xmlns:a16="http://schemas.microsoft.com/office/drawing/2014/main" id="{3E3A909B-4C7C-0DF7-13A7-B40107865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2381</xdr:colOff>
      <xdr:row>40</xdr:row>
      <xdr:rowOff>0</xdr:rowOff>
    </xdr:from>
    <xdr:to>
      <xdr:col>27</xdr:col>
      <xdr:colOff>-1</xdr:colOff>
      <xdr:row>57</xdr:row>
      <xdr:rowOff>0</xdr:rowOff>
    </xdr:to>
    <xdr:graphicFrame macro="">
      <xdr:nvGraphicFramePr>
        <xdr:cNvPr id="5" name="Chart 8">
          <a:extLst>
            <a:ext uri="{FF2B5EF4-FFF2-40B4-BE49-F238E27FC236}">
              <a16:creationId xmlns:a16="http://schemas.microsoft.com/office/drawing/2014/main" id="{4CFCA06C-5BE2-218C-BDDB-E08F2FC65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37111</xdr:colOff>
      <xdr:row>6</xdr:row>
      <xdr:rowOff>61850</xdr:rowOff>
    </xdr:from>
    <xdr:to>
      <xdr:col>6</xdr:col>
      <xdr:colOff>593766</xdr:colOff>
      <xdr:row>22</xdr:row>
      <xdr:rowOff>12370</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C065C954-6DC6-778F-86E0-8BCD33A412B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40361" y="1522350"/>
              <a:ext cx="3620530" cy="2554020"/>
            </a:xfrm>
            <a:prstGeom prst="rect">
              <a:avLst/>
            </a:prstGeom>
            <a:solidFill>
              <a:prstClr val="white"/>
            </a:solidFill>
            <a:ln w="1">
              <a:solidFill>
                <a:prstClr val="green"/>
              </a:solidFill>
            </a:ln>
          </xdr:spPr>
          <xdr:txBody>
            <a:bodyPr vertOverflow="clip" horzOverflow="clip"/>
            <a:lstStyle/>
            <a:p>
              <a:r>
                <a:rPr lang="es-C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24739</xdr:colOff>
      <xdr:row>6</xdr:row>
      <xdr:rowOff>88602</xdr:rowOff>
    </xdr:from>
    <xdr:to>
      <xdr:col>19</xdr:col>
      <xdr:colOff>494805</xdr:colOff>
      <xdr:row>22</xdr:row>
      <xdr:rowOff>37110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89A88C94-1EB4-A2D5-3A6B-1BCA527241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422739" y="1549102"/>
              <a:ext cx="4184816" cy="2552008"/>
            </a:xfrm>
            <a:prstGeom prst="rect">
              <a:avLst/>
            </a:prstGeom>
            <a:solidFill>
              <a:prstClr val="white"/>
            </a:solidFill>
            <a:ln w="1">
              <a:solidFill>
                <a:prstClr val="green"/>
              </a:solidFill>
            </a:ln>
          </xdr:spPr>
          <xdr:txBody>
            <a:bodyPr vertOverflow="clip" horzOverflow="clip"/>
            <a:lstStyle/>
            <a:p>
              <a:r>
                <a:rPr lang="es-C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24743</xdr:colOff>
      <xdr:row>6</xdr:row>
      <xdr:rowOff>49481</xdr:rowOff>
    </xdr:from>
    <xdr:to>
      <xdr:col>26</xdr:col>
      <xdr:colOff>544286</xdr:colOff>
      <xdr:row>22</xdr:row>
      <xdr:rowOff>24741</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2EAD4D73-EB13-63BD-2ECA-407C32AADD8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740743" y="1509981"/>
              <a:ext cx="4170793" cy="2578760"/>
            </a:xfrm>
            <a:prstGeom prst="rect">
              <a:avLst/>
            </a:prstGeom>
            <a:solidFill>
              <a:prstClr val="white"/>
            </a:solidFill>
            <a:ln w="1">
              <a:solidFill>
                <a:prstClr val="green"/>
              </a:solidFill>
            </a:ln>
          </xdr:spPr>
          <xdr:txBody>
            <a:bodyPr vertOverflow="clip" horzOverflow="clip"/>
            <a:lstStyle/>
            <a:p>
              <a:r>
                <a:rPr lang="es-C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24742</xdr:colOff>
      <xdr:row>6</xdr:row>
      <xdr:rowOff>63861</xdr:rowOff>
    </xdr:from>
    <xdr:to>
      <xdr:col>13</xdr:col>
      <xdr:colOff>569027</xdr:colOff>
      <xdr:row>22</xdr:row>
      <xdr:rowOff>24738</xdr:rowOff>
    </xdr:to>
    <mc:AlternateContent xmlns:mc="http://schemas.openxmlformats.org/markup-compatibility/2006" xmlns:a14="http://schemas.microsoft.com/office/drawing/2010/main">
      <mc:Choice Requires="a14">
        <xdr:graphicFrame macro="">
          <xdr:nvGraphicFramePr>
            <xdr:cNvPr id="16" name="Product Name">
              <a:extLst>
                <a:ext uri="{FF2B5EF4-FFF2-40B4-BE49-F238E27FC236}">
                  <a16:creationId xmlns:a16="http://schemas.microsoft.com/office/drawing/2014/main" id="{88BF5441-D4D4-19E7-462E-B3D107CB29C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4295117" y="1524361"/>
              <a:ext cx="5068660" cy="2564377"/>
            </a:xfrm>
            <a:prstGeom prst="rect">
              <a:avLst/>
            </a:prstGeom>
            <a:solidFill>
              <a:prstClr val="white"/>
            </a:solidFill>
            <a:ln w="1">
              <a:solidFill>
                <a:prstClr val="green"/>
              </a:solidFill>
            </a:ln>
          </xdr:spPr>
          <xdr:txBody>
            <a:bodyPr vertOverflow="clip" horzOverflow="clip"/>
            <a:lstStyle/>
            <a:p>
              <a:r>
                <a:rPr lang="es-C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7</xdr:col>
      <xdr:colOff>128586</xdr:colOff>
      <xdr:row>5</xdr:row>
      <xdr:rowOff>61913</xdr:rowOff>
    </xdr:from>
    <xdr:ext cx="1828800" cy="2524125"/>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815A4D8C-0E33-4615-F63B-DAC4CDB075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83805" y="1014413"/>
              <a:ext cx="1828800" cy="2524125"/>
            </a:xfrm>
            <a:prstGeom prst="rect">
              <a:avLst/>
            </a:prstGeom>
            <a:solidFill>
              <a:prstClr val="white"/>
            </a:solidFill>
            <a:ln w="1">
              <a:solidFill>
                <a:prstClr val="green"/>
              </a:solidFill>
            </a:ln>
          </xdr:spPr>
          <xdr:txBody>
            <a:bodyPr vertOverflow="clip" horzOverflow="clip"/>
            <a:lstStyle/>
            <a:p>
              <a:r>
                <a:rPr lang="es-C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128586</xdr:colOff>
      <xdr:row>5</xdr:row>
      <xdr:rowOff>85725</xdr:rowOff>
    </xdr:from>
    <xdr:ext cx="1828800" cy="2524125"/>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290D947-8BDB-67D9-B5CD-6D1F64C9DD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60242" y="1038225"/>
              <a:ext cx="1828800" cy="2524125"/>
            </a:xfrm>
            <a:prstGeom prst="rect">
              <a:avLst/>
            </a:prstGeom>
            <a:solidFill>
              <a:prstClr val="white"/>
            </a:solidFill>
            <a:ln w="1">
              <a:solidFill>
                <a:prstClr val="green"/>
              </a:solidFill>
            </a:ln>
          </xdr:spPr>
          <xdr:txBody>
            <a:bodyPr vertOverflow="clip" horzOverflow="clip"/>
            <a:lstStyle/>
            <a:p>
              <a:r>
                <a:rPr lang="es-C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128587</xdr:colOff>
      <xdr:row>5</xdr:row>
      <xdr:rowOff>97631</xdr:rowOff>
    </xdr:from>
    <xdr:ext cx="1828800" cy="2524125"/>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EC9EBB3E-4375-CD57-18E5-6F94947E94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17618" y="1050131"/>
              <a:ext cx="1828800" cy="2524125"/>
            </a:xfrm>
            <a:prstGeom prst="rect">
              <a:avLst/>
            </a:prstGeom>
            <a:solidFill>
              <a:prstClr val="white"/>
            </a:solidFill>
            <a:ln w="1">
              <a:solidFill>
                <a:prstClr val="green"/>
              </a:solidFill>
            </a:ln>
          </xdr:spPr>
          <xdr:txBody>
            <a:bodyPr vertOverflow="clip" horzOverflow="clip"/>
            <a:lstStyle/>
            <a:p>
              <a:r>
                <a:rPr lang="es-C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nie Pizarro Espinoza" refreshedDate="46164.772413657411" createdVersion="8" refreshedVersion="8" minRefreshableVersion="3" recordCount="40" xr:uid="{52D4C3EC-FB3F-408E-A26B-4FE9952CA9A4}">
  <cacheSource type="worksheet">
    <worksheetSource name="Data"/>
  </cacheSource>
  <cacheFields count="20">
    <cacheField name="Order id" numFmtId="0">
      <sharedItems containsSemiMixedTypes="0" containsString="0" containsNumber="1" containsInteger="1" minValue="1001" maxValue="1040"/>
    </cacheField>
    <cacheField name="Month" numFmtId="14">
      <sharedItems count="3">
        <s v="Ene"/>
        <s v="Feb"/>
        <s v="Mar"/>
      </sharedItems>
    </cacheField>
    <cacheField name="Customer Name" numFmtId="0">
      <sharedItems/>
    </cacheField>
    <cacheField name="Product Name" numFmtId="0">
      <sharedItems count="13">
        <s v="Camiseta Básica Blanca"/>
        <s v="Camiseta Básica Negra"/>
        <s v="Pantalón Denim Azul"/>
        <s v="Sudadera Oversized Gris"/>
        <s v="Vestido Midi Floral"/>
        <s v="Chaqueta Denim Clásica"/>
        <s v="Blusa Satin Negro"/>
        <s v="Falda Plisada Midi"/>
        <s v="Jeans Skinny Negro"/>
        <s v="Polo Manga Larga"/>
        <s v="Pantalón Cargo Beige"/>
        <s v="Chaqueta Bomber Verde"/>
        <s v="Vestido Wrap Rojo"/>
      </sharedItems>
    </cacheField>
    <cacheField name="Category" numFmtId="0">
      <sharedItems count="4">
        <s v="Tops"/>
        <s v="Bottoms"/>
        <s v="Outerwear"/>
        <s v="Dresses"/>
      </sharedItems>
    </cacheField>
    <cacheField name="Quantity" numFmtId="1">
      <sharedItems containsSemiMixedTypes="0" containsString="0" containsNumber="1" containsInteger="1" minValue="1" maxValue="4"/>
    </cacheField>
    <cacheField name="Unit Price" numFmtId="164">
      <sharedItems containsSemiMixedTypes="0" containsString="0" containsNumber="1" containsInteger="1" minValue="25" maxValue="80" count="11">
        <n v="25"/>
        <n v="65"/>
        <n v="45"/>
        <n v="55"/>
        <n v="75"/>
        <n v="35"/>
        <n v="40"/>
        <n v="60"/>
        <n v="30"/>
        <n v="50"/>
        <n v="80"/>
      </sharedItems>
    </cacheField>
    <cacheField name="Discount" numFmtId="167">
      <sharedItems containsSemiMixedTypes="0" containsString="0" containsNumber="1" minValue="0" maxValue="0.08"/>
    </cacheField>
    <cacheField name="Shipping Cost" numFmtId="165">
      <sharedItems containsSemiMixedTypes="0" containsString="0" containsNumber="1" minValue="5.5" maxValue="8" count="5">
        <n v="5.5"/>
        <n v="7"/>
        <n v="6"/>
        <n v="6.5"/>
        <n v="8"/>
      </sharedItems>
    </cacheField>
    <cacheField name="Country" numFmtId="0">
      <sharedItems count="4">
        <s v="Costa Rica"/>
        <s v="Mexico"/>
        <s v="Panama"/>
        <s v="Colombia"/>
      </sharedItems>
    </cacheField>
    <cacheField name="Cogs Percentage" numFmtId="9">
      <sharedItems containsSemiMixedTypes="0" containsString="0" containsNumber="1" minValue="0.35" maxValue="0.45"/>
    </cacheField>
    <cacheField name="Marketing Cost Per Unit" numFmtId="164">
      <sharedItems containsSemiMixedTypes="0" containsString="0" containsNumber="1" minValue="3" maxValue="8"/>
    </cacheField>
    <cacheField name="Warehouse Cost Per Unit" numFmtId="166">
      <sharedItems containsSemiMixedTypes="0" containsString="0" containsNumber="1" minValue="1.5" maxValue="3"/>
    </cacheField>
    <cacheField name="Revenue" numFmtId="165">
      <sharedItems containsSemiMixedTypes="0" containsString="0" containsNumber="1" minValue="24.975000000000001" maxValue="129.935"/>
    </cacheField>
    <cacheField name="COGS" numFmtId="164">
      <sharedItems containsSemiMixedTypes="0" containsString="0" containsNumber="1" minValue="8.75" maxValue="54.6"/>
    </cacheField>
    <cacheField name="Marketing Cost" numFmtId="164">
      <sharedItems containsSemiMixedTypes="0" containsString="0" containsNumber="1" minValue="3" maxValue="12"/>
    </cacheField>
    <cacheField name="Warehouse Cost" numFmtId="166">
      <sharedItems containsSemiMixedTypes="0" containsString="0" containsNumber="1" minValue="1.5" maxValue="6"/>
    </cacheField>
    <cacheField name="Total Cost" numFmtId="164">
      <sharedItems containsSemiMixedTypes="0" containsString="0" containsNumber="1" minValue="18.75" maxValue="75.599999999999994"/>
    </cacheField>
    <cacheField name="Profit" numFmtId="164">
      <sharedItems containsSemiMixedTypes="0" containsString="0" containsNumber="1" minValue="6.2250000000000014" maxValue="54.335000000000008"/>
    </cacheField>
    <cacheField name="Margin%" numFmtId="9">
      <sharedItems containsSemiMixedTypes="0" containsString="0" containsNumber="1" minValue="0.24924924924924929" maxValue="0.41817062377342523"/>
    </cacheField>
  </cacheFields>
  <extLst>
    <ext xmlns:x14="http://schemas.microsoft.com/office/spreadsheetml/2009/9/main" uri="{725AE2AE-9491-48be-B2B4-4EB974FC3084}">
      <x14:pivotCacheDefinition pivotCacheId="311424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x v="0"/>
    <s v="Maria Gonzalez"/>
    <x v="0"/>
    <x v="0"/>
    <n v="2"/>
    <x v="0"/>
    <n v="0"/>
    <x v="0"/>
    <x v="0"/>
    <n v="0.35"/>
    <n v="3"/>
    <n v="1.5"/>
    <n v="50"/>
    <n v="17.5"/>
    <n v="6"/>
    <n v="3"/>
    <n v="32"/>
    <n v="18"/>
    <n v="0.36"/>
  </r>
  <r>
    <n v="1002"/>
    <x v="0"/>
    <s v="Juan Perez"/>
    <x v="0"/>
    <x v="0"/>
    <n v="1"/>
    <x v="0"/>
    <n v="2.5000000000000001E-2"/>
    <x v="0"/>
    <x v="1"/>
    <n v="0.35"/>
    <n v="3"/>
    <n v="1.5"/>
    <n v="24.975000000000001"/>
    <n v="8.75"/>
    <n v="3"/>
    <n v="1.5"/>
    <n v="18.75"/>
    <n v="6.2250000000000014"/>
    <n v="0.24924924924924929"/>
  </r>
  <r>
    <n v="1006"/>
    <x v="0"/>
    <s v="Sofia Rodriguez"/>
    <x v="0"/>
    <x v="0"/>
    <n v="3"/>
    <x v="0"/>
    <n v="3.7499999999999999E-2"/>
    <x v="0"/>
    <x v="2"/>
    <n v="0.35"/>
    <n v="3"/>
    <n v="1.5"/>
    <n v="74.962500000000006"/>
    <n v="26.25"/>
    <n v="9"/>
    <n v="4.5"/>
    <n v="45.25"/>
    <n v="29.712500000000006"/>
    <n v="0.39636484909121233"/>
  </r>
  <r>
    <n v="1013"/>
    <x v="0"/>
    <s v="Diego Morales"/>
    <x v="1"/>
    <x v="0"/>
    <n v="4"/>
    <x v="0"/>
    <n v="0.05"/>
    <x v="0"/>
    <x v="0"/>
    <n v="0.35"/>
    <n v="3"/>
    <n v="1.5"/>
    <n v="99.95"/>
    <n v="35"/>
    <n v="12"/>
    <n v="6"/>
    <n v="58.5"/>
    <n v="41.45"/>
    <n v="0.41470735367683842"/>
  </r>
  <r>
    <n v="1003"/>
    <x v="0"/>
    <s v="Ana López"/>
    <x v="2"/>
    <x v="1"/>
    <n v="1"/>
    <x v="1"/>
    <n v="0"/>
    <x v="1"/>
    <x v="3"/>
    <n v="0.42"/>
    <n v="5"/>
    <n v="2"/>
    <n v="65"/>
    <n v="27.3"/>
    <n v="5"/>
    <n v="2"/>
    <n v="41.3"/>
    <n v="23.700000000000003"/>
    <n v="0.36461538461538467"/>
  </r>
  <r>
    <n v="1004"/>
    <x v="0"/>
    <s v="Pedro Martínez"/>
    <x v="2"/>
    <x v="1"/>
    <n v="2"/>
    <x v="1"/>
    <n v="6.5000000000000002E-2"/>
    <x v="1"/>
    <x v="0"/>
    <n v="0.42"/>
    <n v="5"/>
    <n v="2"/>
    <n v="129.935"/>
    <n v="54.6"/>
    <n v="10"/>
    <n v="4"/>
    <n v="75.599999999999994"/>
    <n v="54.335000000000008"/>
    <n v="0.41817062377342523"/>
  </r>
  <r>
    <n v="1009"/>
    <x v="0"/>
    <s v="Miguel Santos"/>
    <x v="2"/>
    <x v="1"/>
    <n v="1"/>
    <x v="1"/>
    <n v="0"/>
    <x v="1"/>
    <x v="0"/>
    <n v="0.42"/>
    <n v="5"/>
    <n v="2"/>
    <n v="65"/>
    <n v="27.3"/>
    <n v="5"/>
    <n v="2"/>
    <n v="41.3"/>
    <n v="23.700000000000003"/>
    <n v="0.36461538461538467"/>
  </r>
  <r>
    <n v="1005"/>
    <x v="0"/>
    <s v="Maria Gonzalez"/>
    <x v="3"/>
    <x v="2"/>
    <n v="1"/>
    <x v="2"/>
    <n v="0"/>
    <x v="2"/>
    <x v="0"/>
    <n v="0.38"/>
    <n v="4.5"/>
    <n v="2.5"/>
    <n v="45"/>
    <n v="17.100000000000001"/>
    <n v="4.5"/>
    <n v="2.5"/>
    <n v="30.1"/>
    <n v="14.899999999999999"/>
    <n v="0.33111111111111108"/>
  </r>
  <r>
    <n v="1012"/>
    <x v="0"/>
    <s v="Valentina Cruz"/>
    <x v="3"/>
    <x v="2"/>
    <n v="2"/>
    <x v="2"/>
    <n v="4.4999999999999998E-2"/>
    <x v="2"/>
    <x v="3"/>
    <n v="0.38"/>
    <n v="4.5"/>
    <n v="2.5"/>
    <n v="89.954999999999998"/>
    <n v="34.200000000000003"/>
    <n v="9"/>
    <n v="5"/>
    <n v="54.2"/>
    <n v="35.754999999999995"/>
    <n v="0.39747651603579565"/>
  </r>
  <r>
    <n v="1007"/>
    <x v="0"/>
    <s v="Carlos Ruiz"/>
    <x v="4"/>
    <x v="3"/>
    <n v="1"/>
    <x v="3"/>
    <n v="0"/>
    <x v="3"/>
    <x v="1"/>
    <n v="0.4"/>
    <n v="6"/>
    <n v="2"/>
    <n v="55"/>
    <n v="22"/>
    <n v="6"/>
    <n v="2"/>
    <n v="36.5"/>
    <n v="18.5"/>
    <n v="0.33636363636363636"/>
  </r>
  <r>
    <n v="1014"/>
    <x v="0"/>
    <s v="Isabella Vargas"/>
    <x v="4"/>
    <x v="3"/>
    <n v="1"/>
    <x v="3"/>
    <n v="0"/>
    <x v="3"/>
    <x v="2"/>
    <n v="0.4"/>
    <n v="6"/>
    <n v="2"/>
    <n v="55"/>
    <n v="22"/>
    <n v="6"/>
    <n v="2"/>
    <n v="36.5"/>
    <n v="18.5"/>
    <n v="0.33636363636363636"/>
  </r>
  <r>
    <n v="1008"/>
    <x v="1"/>
    <s v="Laura Jimenez"/>
    <x v="5"/>
    <x v="2"/>
    <n v="1"/>
    <x v="4"/>
    <n v="7.4999999999999997E-2"/>
    <x v="4"/>
    <x v="3"/>
    <n v="0.45"/>
    <n v="7"/>
    <n v="3"/>
    <n v="74.924999999999997"/>
    <n v="33.75"/>
    <n v="7"/>
    <n v="3"/>
    <n v="51.75"/>
    <n v="23.174999999999997"/>
    <n v="0.30930930930930928"/>
  </r>
  <r>
    <n v="1010"/>
    <x v="1"/>
    <s v="Elena Torres"/>
    <x v="6"/>
    <x v="0"/>
    <n v="2"/>
    <x v="5"/>
    <n v="0"/>
    <x v="0"/>
    <x v="2"/>
    <n v="0.36"/>
    <n v="4"/>
    <n v="1.5"/>
    <n v="70"/>
    <n v="25.2"/>
    <n v="8"/>
    <n v="3"/>
    <n v="41.7"/>
    <n v="28.299999999999997"/>
    <n v="0.40428571428571425"/>
  </r>
  <r>
    <n v="1011"/>
    <x v="1"/>
    <s v="Roberto Kim"/>
    <x v="7"/>
    <x v="1"/>
    <n v="1"/>
    <x v="6"/>
    <n v="0.04"/>
    <x v="2"/>
    <x v="1"/>
    <n v="0.38"/>
    <n v="4.5"/>
    <n v="1.8"/>
    <n v="39.96"/>
    <n v="15.2"/>
    <n v="4.5"/>
    <n v="1.8"/>
    <n v="27.5"/>
    <n v="12.46"/>
    <n v="0.31181181181181183"/>
  </r>
  <r>
    <n v="1015"/>
    <x v="1"/>
    <s v="Andrés Patel"/>
    <x v="8"/>
    <x v="1"/>
    <n v="1"/>
    <x v="7"/>
    <n v="0.06"/>
    <x v="1"/>
    <x v="1"/>
    <n v="0.43"/>
    <n v="5.5"/>
    <n v="2"/>
    <n v="59.94"/>
    <n v="25.8"/>
    <n v="5.5"/>
    <n v="2"/>
    <n v="40.299999999999997"/>
    <n v="19.64"/>
    <n v="0.32766099432766099"/>
  </r>
  <r>
    <n v="1016"/>
    <x v="1"/>
    <s v="Camila Soto"/>
    <x v="5"/>
    <x v="2"/>
    <n v="1"/>
    <x v="4"/>
    <n v="0"/>
    <x v="4"/>
    <x v="3"/>
    <n v="0.45"/>
    <n v="7"/>
    <n v="3"/>
    <n v="75"/>
    <n v="33.75"/>
    <n v="7"/>
    <n v="3"/>
    <n v="51.75"/>
    <n v="23.25"/>
    <n v="0.31"/>
  </r>
  <r>
    <n v="1017"/>
    <x v="1"/>
    <s v="Fernando Lopez"/>
    <x v="0"/>
    <x v="0"/>
    <n v="2"/>
    <x v="0"/>
    <n v="2.5000000000000001E-2"/>
    <x v="0"/>
    <x v="0"/>
    <n v="0.35"/>
    <n v="3"/>
    <n v="1.5"/>
    <n v="49.975000000000001"/>
    <n v="17.5"/>
    <n v="6"/>
    <n v="3"/>
    <n v="32"/>
    <n v="17.975000000000001"/>
    <n v="0.35967983991996"/>
  </r>
  <r>
    <n v="1018"/>
    <x v="1"/>
    <s v="Unknown"/>
    <x v="9"/>
    <x v="0"/>
    <n v="3"/>
    <x v="8"/>
    <n v="4.4999999999999998E-2"/>
    <x v="0"/>
    <x v="2"/>
    <n v="0.37"/>
    <n v="3.5"/>
    <n v="1.5"/>
    <n v="89.954999999999998"/>
    <n v="33.299999999999997"/>
    <n v="10.5"/>
    <n v="4.5"/>
    <n v="53.8"/>
    <n v="36.155000000000001"/>
    <n v="0.40192318381412928"/>
  </r>
  <r>
    <n v="1019"/>
    <x v="1"/>
    <s v="Paula Ramirez"/>
    <x v="4"/>
    <x v="3"/>
    <n v="1"/>
    <x v="3"/>
    <n v="5.5E-2"/>
    <x v="3"/>
    <x v="1"/>
    <n v="0.4"/>
    <n v="6"/>
    <n v="2"/>
    <n v="54.945"/>
    <n v="22"/>
    <n v="6"/>
    <n v="2"/>
    <n v="36.5"/>
    <n v="18.445"/>
    <n v="0.33569933569933569"/>
  </r>
  <r>
    <n v="1020"/>
    <x v="1"/>
    <s v="Ricardo Mendez"/>
    <x v="3"/>
    <x v="2"/>
    <n v="1"/>
    <x v="2"/>
    <n v="0"/>
    <x v="2"/>
    <x v="3"/>
    <n v="0.38"/>
    <n v="4.5"/>
    <n v="2.5"/>
    <n v="45"/>
    <n v="17.100000000000001"/>
    <n v="4.5"/>
    <n v="2.5"/>
    <n v="30.1"/>
    <n v="14.899999999999999"/>
    <n v="0.33111111111111108"/>
  </r>
  <r>
    <n v="1021"/>
    <x v="1"/>
    <s v="Lucia Fernandez"/>
    <x v="10"/>
    <x v="1"/>
    <n v="2"/>
    <x v="9"/>
    <n v="0"/>
    <x v="1"/>
    <x v="0"/>
    <n v="0.4"/>
    <n v="5"/>
    <n v="2"/>
    <n v="100"/>
    <n v="40"/>
    <n v="10"/>
    <n v="4"/>
    <n v="61"/>
    <n v="39"/>
    <n v="0.39"/>
  </r>
  <r>
    <n v="1022"/>
    <x v="1"/>
    <s v="Gabriel Torres"/>
    <x v="6"/>
    <x v="0"/>
    <n v="1"/>
    <x v="5"/>
    <n v="3.5000000000000003E-2"/>
    <x v="0"/>
    <x v="2"/>
    <n v="0.36"/>
    <n v="4"/>
    <n v="1.5"/>
    <n v="34.965000000000003"/>
    <n v="12.6"/>
    <n v="4"/>
    <n v="1.5"/>
    <n v="23.6"/>
    <n v="11.365000000000002"/>
    <n v="0.32503932503932509"/>
  </r>
  <r>
    <n v="1023"/>
    <x v="1"/>
    <s v="Monica Silva"/>
    <x v="7"/>
    <x v="1"/>
    <n v="1"/>
    <x v="6"/>
    <n v="0"/>
    <x v="2"/>
    <x v="1"/>
    <n v="0.38"/>
    <n v="4.5"/>
    <n v="1.8"/>
    <n v="40"/>
    <n v="15.2"/>
    <n v="4.5"/>
    <n v="1.8"/>
    <n v="27.5"/>
    <n v="12.5"/>
    <n v="0.3125"/>
  </r>
  <r>
    <n v="1024"/>
    <x v="2"/>
    <s v="Javier Ortiz"/>
    <x v="1"/>
    <x v="0"/>
    <n v="2"/>
    <x v="0"/>
    <n v="0"/>
    <x v="0"/>
    <x v="3"/>
    <n v="0.35"/>
    <n v="3"/>
    <n v="1.5"/>
    <n v="50"/>
    <n v="17.5"/>
    <n v="6"/>
    <n v="3"/>
    <n v="32"/>
    <n v="18"/>
    <n v="0.36"/>
  </r>
  <r>
    <n v="1025"/>
    <x v="2"/>
    <s v="Daniela Rojas"/>
    <x v="8"/>
    <x v="1"/>
    <n v="1"/>
    <x v="7"/>
    <n v="0"/>
    <x v="1"/>
    <x v="0"/>
    <n v="0.43"/>
    <n v="5.5"/>
    <n v="2"/>
    <n v="60"/>
    <n v="25.8"/>
    <n v="5.5"/>
    <n v="2"/>
    <n v="40.299999999999997"/>
    <n v="19.700000000000003"/>
    <n v="0.32833333333333337"/>
  </r>
  <r>
    <n v="1026"/>
    <x v="2"/>
    <s v="Sebastian Luna"/>
    <x v="11"/>
    <x v="2"/>
    <n v="1"/>
    <x v="10"/>
    <n v="0.08"/>
    <x v="4"/>
    <x v="2"/>
    <n v="0.44"/>
    <n v="8"/>
    <n v="3"/>
    <n v="79.92"/>
    <n v="35.200000000000003"/>
    <n v="8"/>
    <n v="3"/>
    <n v="54.2"/>
    <n v="25.72"/>
    <n v="0.32182182182182179"/>
  </r>
  <r>
    <n v="1027"/>
    <x v="2"/>
    <s v="Natalia Diaz"/>
    <x v="4"/>
    <x v="3"/>
    <n v="2"/>
    <x v="3"/>
    <n v="5.5E-2"/>
    <x v="3"/>
    <x v="1"/>
    <n v="0.4"/>
    <n v="6"/>
    <n v="2"/>
    <n v="109.94499999999999"/>
    <n v="44"/>
    <n v="12"/>
    <n v="4"/>
    <n v="66.5"/>
    <n v="43.444999999999993"/>
    <n v="0.39515212151530305"/>
  </r>
  <r>
    <n v="1028"/>
    <x v="2"/>
    <s v="Alejandro Castro"/>
    <x v="2"/>
    <x v="1"/>
    <n v="1"/>
    <x v="1"/>
    <n v="6.5000000000000002E-2"/>
    <x v="1"/>
    <x v="3"/>
    <n v="0.42"/>
    <n v="5"/>
    <n v="2"/>
    <n v="64.935000000000002"/>
    <n v="27.3"/>
    <n v="5"/>
    <n v="2"/>
    <n v="41.3"/>
    <n v="23.635000000000005"/>
    <n v="0.36397936397936403"/>
  </r>
  <r>
    <n v="1029"/>
    <x v="2"/>
    <s v="Victoria Herrera"/>
    <x v="0"/>
    <x v="0"/>
    <n v="3"/>
    <x v="0"/>
    <n v="3.7499999999999999E-2"/>
    <x v="0"/>
    <x v="0"/>
    <n v="0.35"/>
    <n v="3"/>
    <n v="1.5"/>
    <n v="74.962500000000006"/>
    <n v="26.25"/>
    <n v="9"/>
    <n v="4.5"/>
    <n v="45.25"/>
    <n v="29.712500000000006"/>
    <n v="0.39636484909121233"/>
  </r>
  <r>
    <n v="1030"/>
    <x v="2"/>
    <s v="Martin Gutierrez"/>
    <x v="3"/>
    <x v="2"/>
    <n v="1"/>
    <x v="2"/>
    <n v="4.4999999999999998E-2"/>
    <x v="2"/>
    <x v="2"/>
    <n v="0.38"/>
    <n v="4.5"/>
    <n v="2.5"/>
    <n v="44.954999999999998"/>
    <n v="17.100000000000001"/>
    <n v="4.5"/>
    <n v="2.5"/>
    <n v="30.1"/>
    <n v="14.854999999999997"/>
    <n v="0.33044155266377484"/>
  </r>
  <r>
    <n v="1031"/>
    <x v="2"/>
    <s v="Carolina Vega"/>
    <x v="6"/>
    <x v="0"/>
    <n v="1"/>
    <x v="5"/>
    <n v="0"/>
    <x v="0"/>
    <x v="1"/>
    <n v="0.36"/>
    <n v="4"/>
    <n v="1.5"/>
    <n v="35"/>
    <n v="12.6"/>
    <n v="4"/>
    <n v="1.5"/>
    <n v="23.6"/>
    <n v="11.399999999999999"/>
    <n v="0.32571428571428568"/>
  </r>
  <r>
    <n v="1032"/>
    <x v="2"/>
    <s v="Eduardo Paz"/>
    <x v="7"/>
    <x v="1"/>
    <n v="2"/>
    <x v="6"/>
    <n v="0.04"/>
    <x v="2"/>
    <x v="3"/>
    <n v="0.38"/>
    <n v="4.5"/>
    <n v="1.8"/>
    <n v="79.959999999999994"/>
    <n v="30.4"/>
    <n v="9"/>
    <n v="3.6"/>
    <n v="49"/>
    <n v="30.959999999999994"/>
    <n v="0.38719359679839915"/>
  </r>
  <r>
    <n v="1033"/>
    <x v="2"/>
    <s v="Adriana Molina"/>
    <x v="1"/>
    <x v="0"/>
    <n v="1"/>
    <x v="0"/>
    <n v="0"/>
    <x v="0"/>
    <x v="0"/>
    <n v="0.35"/>
    <n v="3"/>
    <n v="1.5"/>
    <n v="25"/>
    <n v="8.75"/>
    <n v="3"/>
    <n v="1.5"/>
    <n v="18.75"/>
    <n v="6.25"/>
    <n v="0.25"/>
  </r>
  <r>
    <n v="1034"/>
    <x v="2"/>
    <s v="Francisco Reyes"/>
    <x v="8"/>
    <x v="1"/>
    <n v="1"/>
    <x v="7"/>
    <n v="0"/>
    <x v="1"/>
    <x v="2"/>
    <n v="0.43"/>
    <n v="5.5"/>
    <n v="2"/>
    <n v="60"/>
    <n v="25.8"/>
    <n v="5.5"/>
    <n v="2"/>
    <n v="40.299999999999997"/>
    <n v="19.700000000000003"/>
    <n v="0.32833333333333337"/>
  </r>
  <r>
    <n v="1035"/>
    <x v="2"/>
    <s v="Mariana Flores"/>
    <x v="5"/>
    <x v="2"/>
    <n v="1"/>
    <x v="4"/>
    <n v="7.4999999999999997E-2"/>
    <x v="4"/>
    <x v="1"/>
    <n v="0.45"/>
    <n v="7"/>
    <n v="3"/>
    <n v="74.924999999999997"/>
    <n v="33.75"/>
    <n v="7"/>
    <n v="3"/>
    <n v="51.75"/>
    <n v="23.174999999999997"/>
    <n v="0.30930930930930928"/>
  </r>
  <r>
    <n v="1036"/>
    <x v="2"/>
    <s v="Jorge Paredes"/>
    <x v="9"/>
    <x v="0"/>
    <n v="2"/>
    <x v="8"/>
    <n v="0"/>
    <x v="0"/>
    <x v="3"/>
    <n v="0.37"/>
    <n v="3.5"/>
    <n v="1.5"/>
    <n v="60"/>
    <n v="22.2"/>
    <n v="7"/>
    <n v="3"/>
    <n v="37.700000000000003"/>
    <n v="22.299999999999997"/>
    <n v="0.37166666666666665"/>
  </r>
  <r>
    <n v="1037"/>
    <x v="0"/>
    <s v="Sandra Rios"/>
    <x v="12"/>
    <x v="3"/>
    <n v="1"/>
    <x v="7"/>
    <n v="0"/>
    <x v="3"/>
    <x v="0"/>
    <n v="0.41"/>
    <n v="6.5"/>
    <n v="2"/>
    <n v="60"/>
    <n v="24.599999999999998"/>
    <n v="6.5"/>
    <n v="2"/>
    <n v="39.599999999999994"/>
    <n v="20.400000000000006"/>
    <n v="0.34000000000000008"/>
  </r>
  <r>
    <n v="1038"/>
    <x v="1"/>
    <s v="Pablo Navarro"/>
    <x v="10"/>
    <x v="1"/>
    <n v="1"/>
    <x v="9"/>
    <n v="0.05"/>
    <x v="1"/>
    <x v="2"/>
    <n v="0.4"/>
    <n v="5"/>
    <n v="2"/>
    <n v="49.95"/>
    <n v="20"/>
    <n v="5"/>
    <n v="2"/>
    <n v="34"/>
    <n v="15.950000000000003"/>
    <n v="0.31931931931931934"/>
  </r>
  <r>
    <n v="1039"/>
    <x v="2"/>
    <s v="Beatriz Roman"/>
    <x v="11"/>
    <x v="2"/>
    <n v="1"/>
    <x v="10"/>
    <n v="0"/>
    <x v="4"/>
    <x v="1"/>
    <n v="0.44"/>
    <n v="8"/>
    <n v="3"/>
    <n v="80"/>
    <n v="35.200000000000003"/>
    <n v="8"/>
    <n v="3"/>
    <n v="54.2"/>
    <n v="25.799999999999997"/>
    <n v="0.32249999999999995"/>
  </r>
  <r>
    <n v="1040"/>
    <x v="0"/>
    <s v="Raul Aguilar"/>
    <x v="1"/>
    <x v="0"/>
    <n v="4"/>
    <x v="0"/>
    <n v="0.05"/>
    <x v="0"/>
    <x v="3"/>
    <n v="0.35"/>
    <n v="3"/>
    <n v="1.5"/>
    <n v="99.95"/>
    <n v="35"/>
    <n v="12"/>
    <n v="6"/>
    <n v="58.5"/>
    <n v="41.45"/>
    <n v="0.414707353676838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A127A2-0C9E-4A09-A224-A7B3CE7577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36:B41" firstHeaderRow="1" firstDataRow="1" firstDataCol="1"/>
  <pivotFields count="20">
    <pivotField showAll="0"/>
    <pivotField showAll="0">
      <items count="4">
        <item x="0"/>
        <item x="1"/>
        <item x="2"/>
        <item t="default"/>
      </items>
    </pivotField>
    <pivotField showAll="0"/>
    <pivotField showAll="0"/>
    <pivotField axis="axisRow" showAll="0">
      <items count="5">
        <item x="1"/>
        <item x="3"/>
        <item x="2"/>
        <item x="0"/>
        <item t="default"/>
      </items>
    </pivotField>
    <pivotField numFmtId="1" showAll="0"/>
    <pivotField numFmtId="164" showAll="0"/>
    <pivotField numFmtId="167" showAll="0"/>
    <pivotField numFmtId="165" showAll="0"/>
    <pivotField showAll="0">
      <items count="5">
        <item x="3"/>
        <item x="0"/>
        <item x="1"/>
        <item x="2"/>
        <item t="default"/>
      </items>
    </pivotField>
    <pivotField numFmtId="9" showAll="0"/>
    <pivotField numFmtId="164" showAll="0"/>
    <pivotField numFmtId="166" showAll="0"/>
    <pivotField numFmtId="165" showAll="0"/>
    <pivotField numFmtId="164" showAll="0"/>
    <pivotField numFmtId="164" showAll="0"/>
    <pivotField numFmtId="166" showAll="0"/>
    <pivotField numFmtId="164" showAll="0"/>
    <pivotField numFmtId="164" showAll="0"/>
    <pivotField dataField="1" numFmtId="9" showAll="0"/>
  </pivotFields>
  <rowFields count="1">
    <field x="4"/>
  </rowFields>
  <rowItems count="5">
    <i>
      <x/>
    </i>
    <i>
      <x v="1"/>
    </i>
    <i>
      <x v="2"/>
    </i>
    <i>
      <x v="3"/>
    </i>
    <i t="grand">
      <x/>
    </i>
  </rowItems>
  <colItems count="1">
    <i/>
  </colItems>
  <dataFields count="1">
    <dataField name="Average of Margin%" fld="19" subtotal="average" baseField="4" baseItem="0" numFmtId="9"/>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1B478C-65F0-4052-AC4E-F450083594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ountry">
  <location ref="A27:B32" firstHeaderRow="1" firstDataRow="1" firstDataCol="1"/>
  <pivotFields count="20">
    <pivotField showAll="0"/>
    <pivotField showAll="0">
      <items count="4">
        <item x="0"/>
        <item x="1"/>
        <item x="2"/>
        <item t="default"/>
      </items>
    </pivotField>
    <pivotField showAll="0"/>
    <pivotField showAll="0"/>
    <pivotField showAll="0">
      <items count="5">
        <item x="1"/>
        <item x="3"/>
        <item x="2"/>
        <item x="0"/>
        <item t="default"/>
      </items>
    </pivotField>
    <pivotField numFmtId="1" showAll="0"/>
    <pivotField numFmtId="164" showAll="0"/>
    <pivotField numFmtId="167" showAll="0"/>
    <pivotField numFmtId="165" showAll="0"/>
    <pivotField axis="axisRow" showAll="0">
      <items count="5">
        <item x="3"/>
        <item x="0"/>
        <item x="1"/>
        <item x="2"/>
        <item t="default"/>
      </items>
    </pivotField>
    <pivotField numFmtId="9" showAll="0"/>
    <pivotField numFmtId="164" showAll="0"/>
    <pivotField numFmtId="166" showAll="0"/>
    <pivotField dataField="1" numFmtId="165" showAll="0"/>
    <pivotField numFmtId="164" showAll="0"/>
    <pivotField numFmtId="164" showAll="0"/>
    <pivotField numFmtId="166" showAll="0"/>
    <pivotField numFmtId="164" showAll="0"/>
    <pivotField numFmtId="164" showAll="0"/>
    <pivotField numFmtId="9" showAll="0"/>
  </pivotFields>
  <rowFields count="1">
    <field x="9"/>
  </rowFields>
  <rowItems count="5">
    <i>
      <x/>
    </i>
    <i>
      <x v="1"/>
    </i>
    <i>
      <x v="2"/>
    </i>
    <i>
      <x v="3"/>
    </i>
    <i t="grand">
      <x/>
    </i>
  </rowItems>
  <colItems count="1">
    <i/>
  </colItems>
  <dataFields count="1">
    <dataField name="Sum of Revenue" fld="13" baseField="0" baseItem="0" numFmtId="165"/>
  </dataFields>
  <chartFormats count="5">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9" count="1" selected="0">
            <x v="0"/>
          </reference>
        </references>
      </pivotArea>
    </chartFormat>
    <chartFormat chart="17" format="7">
      <pivotArea type="data" outline="0" fieldPosition="0">
        <references count="2">
          <reference field="4294967294" count="1" selected="0">
            <x v="0"/>
          </reference>
          <reference field="9" count="1" selected="0">
            <x v="1"/>
          </reference>
        </references>
      </pivotArea>
    </chartFormat>
    <chartFormat chart="17" format="8">
      <pivotArea type="data" outline="0" fieldPosition="0">
        <references count="2">
          <reference field="4294967294" count="1" selected="0">
            <x v="0"/>
          </reference>
          <reference field="9" count="1" selected="0">
            <x v="2"/>
          </reference>
        </references>
      </pivotArea>
    </chartFormat>
    <chartFormat chart="17" format="9">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2B34F-5F51-4A7C-8C13-D612B70529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Month">
  <location ref="A3:B7" firstHeaderRow="1" firstDataRow="1" firstDataCol="1"/>
  <pivotFields count="20">
    <pivotField showAll="0"/>
    <pivotField axis="axisRow" showAll="0">
      <items count="4">
        <item x="0"/>
        <item x="1"/>
        <item x="2"/>
        <item t="default"/>
      </items>
    </pivotField>
    <pivotField showAll="0"/>
    <pivotField showAll="0">
      <items count="14">
        <item x="6"/>
        <item x="0"/>
        <item x="1"/>
        <item x="11"/>
        <item x="5"/>
        <item x="7"/>
        <item x="8"/>
        <item x="10"/>
        <item x="2"/>
        <item x="9"/>
        <item x="3"/>
        <item x="4"/>
        <item x="12"/>
        <item t="default"/>
      </items>
    </pivotField>
    <pivotField showAll="0">
      <items count="5">
        <item x="1"/>
        <item x="3"/>
        <item x="2"/>
        <item x="0"/>
        <item t="default"/>
      </items>
    </pivotField>
    <pivotField numFmtId="1" showAll="0"/>
    <pivotField numFmtId="164" showAll="0"/>
    <pivotField numFmtId="167" showAll="0"/>
    <pivotField numFmtId="165" showAll="0"/>
    <pivotField showAll="0">
      <items count="5">
        <item x="3"/>
        <item x="0"/>
        <item x="1"/>
        <item x="2"/>
        <item t="default"/>
      </items>
    </pivotField>
    <pivotField numFmtId="9" showAll="0"/>
    <pivotField numFmtId="164" showAll="0"/>
    <pivotField numFmtId="166" showAll="0"/>
    <pivotField dataField="1" numFmtId="165" showAll="0"/>
    <pivotField numFmtId="164" showAll="0"/>
    <pivotField numFmtId="164" showAll="0"/>
    <pivotField numFmtId="166" showAll="0"/>
    <pivotField numFmtId="164" showAll="0"/>
    <pivotField numFmtId="164" showAll="0"/>
    <pivotField numFmtId="9" showAll="0"/>
  </pivotFields>
  <rowFields count="1">
    <field x="1"/>
  </rowFields>
  <rowItems count="4">
    <i>
      <x/>
    </i>
    <i>
      <x v="1"/>
    </i>
    <i>
      <x v="2"/>
    </i>
    <i t="grand">
      <x/>
    </i>
  </rowItems>
  <colItems count="1">
    <i/>
  </colItems>
  <dataFields count="1">
    <dataField name="Sum of Revenue" fld="13" baseField="0" baseItem="0" numFmtId="165"/>
  </dataFields>
  <chartFormats count="3">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 count="1" selected="0">
            <x v="2"/>
          </reference>
        </references>
      </pivotArea>
    </chartFormat>
    <chartFormat chart="18"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BA2679-C790-46E0-8DAC-9FC761C518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Name">
  <location ref="A11:B17" firstHeaderRow="1" firstDataRow="1" firstDataCol="1"/>
  <pivotFields count="20">
    <pivotField showAll="0"/>
    <pivotField showAll="0">
      <items count="4">
        <item x="0"/>
        <item x="1"/>
        <item x="2"/>
        <item t="default"/>
      </items>
    </pivotField>
    <pivotField showAll="0"/>
    <pivotField axis="axisRow" showAll="0" measureFilter="1" sortType="descending">
      <items count="14">
        <item x="6"/>
        <item x="0"/>
        <item x="1"/>
        <item x="11"/>
        <item x="5"/>
        <item x="7"/>
        <item x="8"/>
        <item x="10"/>
        <item x="2"/>
        <item x="9"/>
        <item x="3"/>
        <item x="4"/>
        <item x="12"/>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numFmtId="1" showAll="0"/>
    <pivotField numFmtId="164" showAll="0"/>
    <pivotField numFmtId="167" showAll="0"/>
    <pivotField numFmtId="165" showAll="0"/>
    <pivotField showAll="0">
      <items count="5">
        <item x="3"/>
        <item x="0"/>
        <item x="1"/>
        <item x="2"/>
        <item t="default"/>
      </items>
    </pivotField>
    <pivotField numFmtId="9" showAll="0"/>
    <pivotField numFmtId="164" showAll="0"/>
    <pivotField numFmtId="166" showAll="0"/>
    <pivotField dataField="1" numFmtId="165" showAll="0"/>
    <pivotField numFmtId="164" showAll="0"/>
    <pivotField numFmtId="164" showAll="0"/>
    <pivotField numFmtId="166" showAll="0"/>
    <pivotField numFmtId="164" showAll="0"/>
    <pivotField numFmtId="164" showAll="0"/>
    <pivotField numFmtId="9" showAll="0"/>
  </pivotFields>
  <rowFields count="1">
    <field x="3"/>
  </rowFields>
  <rowItems count="6">
    <i>
      <x v="8"/>
    </i>
    <i>
      <x v="2"/>
    </i>
    <i>
      <x v="11"/>
    </i>
    <i>
      <x v="1"/>
    </i>
    <i>
      <x v="10"/>
    </i>
    <i t="grand">
      <x/>
    </i>
  </rowItems>
  <colItems count="1">
    <i/>
  </colItems>
  <dataFields count="1">
    <dataField name="Sum of Revenue" fld="13" baseField="3" baseItem="8" numFmtId="165"/>
  </dataField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605F257B-CE31-497A-A053-E9F8D759C4FB}" autoFormatId="16" applyNumberFormats="0" applyBorderFormats="0" applyFontFormats="0" applyPatternFormats="0" applyAlignmentFormats="0" applyWidthHeightFormats="0">
  <queryTableRefresh nextId="47" unboundColumnsRight="7">
    <queryTableFields count="20">
      <queryTableField id="1" name="order_id" tableColumnId="1"/>
      <queryTableField id="2" name="order_date" tableColumnId="2"/>
      <queryTableField id="3" name="customer_name" tableColumnId="3"/>
      <queryTableField id="4" name="product_name" tableColumnId="4"/>
      <queryTableField id="5" name="category" tableColumnId="5"/>
      <queryTableField id="6" name="quantity" tableColumnId="6"/>
      <queryTableField id="7" name="unit_price" tableColumnId="7"/>
      <queryTableField id="8" name="discount" tableColumnId="8"/>
      <queryTableField id="9" name="shipping_cost" tableColumnId="9"/>
      <queryTableField id="10" name="country" tableColumnId="10"/>
      <queryTableField id="34" name="cogs_percentage" tableColumnId="14"/>
      <queryTableField id="35" name="marketing_cost_per_unit" tableColumnId="15"/>
      <queryTableField id="36" name="warehouse_cost_per_unit" tableColumnId="16"/>
      <queryTableField id="37" dataBound="0" tableColumnId="17"/>
      <queryTableField id="38" dataBound="0" tableColumnId="18"/>
      <queryTableField id="39" dataBound="0" tableColumnId="19"/>
      <queryTableField id="40" dataBound="0" tableColumnId="20"/>
      <queryTableField id="41" dataBound="0" tableColumnId="21"/>
      <queryTableField id="42" dataBound="0" tableColumnId="22"/>
      <queryTableField id="4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1A71C5A-C961-4A65-9823-ECD3781947C2}" sourceName="Month">
  <pivotTables>
    <pivotTable tabId="3" name="PivotTable2"/>
    <pivotTable tabId="3" name="PivotTable1"/>
    <pivotTable tabId="3" name="PivotTable3"/>
    <pivotTable tabId="3" name="PivotTable4"/>
  </pivotTables>
  <data>
    <tabular pivotCacheId="31142406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CE6D5E-02CC-4125-A8AD-78C401200A15}" sourceName="Category">
  <pivotTables>
    <pivotTable tabId="3" name="PivotTable2"/>
    <pivotTable tabId="3" name="PivotTable1"/>
    <pivotTable tabId="3" name="PivotTable3"/>
    <pivotTable tabId="3" name="PivotTable4"/>
  </pivotTables>
  <data>
    <tabular pivotCacheId="311424069">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93BD0A3-A8CC-4621-B3A1-E444158BC4AC}" sourceName="Country">
  <pivotTables>
    <pivotTable tabId="3" name="PivotTable2"/>
    <pivotTable tabId="3" name="PivotTable1"/>
    <pivotTable tabId="3" name="PivotTable3"/>
    <pivotTable tabId="3" name="PivotTable4"/>
  </pivotTables>
  <data>
    <tabular pivotCacheId="311424069">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9D1E9F1-0551-44A6-803A-777A68BBCF4C}" sourceName="Product Name">
  <pivotTables>
    <pivotTable tabId="3" name="PivotTable2"/>
  </pivotTables>
  <data>
    <tabular pivotCacheId="311424069">
      <items count="13">
        <i x="6" s="1"/>
        <i x="0" s="1"/>
        <i x="1" s="1"/>
        <i x="11" s="1"/>
        <i x="5" s="1"/>
        <i x="7" s="1"/>
        <i x="8" s="1"/>
        <i x="10" s="1"/>
        <i x="2" s="1"/>
        <i x="9" s="1"/>
        <i x="3" s="1"/>
        <i x="4"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B0A2C33-D271-4F87-9A07-36E5CB036657}" cache="Slicer_Month" caption="Month" style="Slicer Style 1" rowHeight="241300"/>
  <slicer name="Category 1" xr10:uid="{E1D88C44-CBC2-4D89-B1D6-9FF692D4D5BF}" cache="Slicer_Category" caption="Category" style="Slicer Style 1" rowHeight="241300"/>
  <slicer name="Country 1" xr10:uid="{5546F1C3-1BEF-4A81-A60A-CF53ECE81583}" cache="Slicer_Country" caption="Country" style="Slicer Style 1" rowHeight="241300"/>
  <slicer name="Product Name" xr10:uid="{CDA810DA-7DA3-43A8-8211-D023C5465905}" cache="Slicer_Product_Name" caption="Product Nam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34CCFEC-8C9A-458A-827F-D9710F0C8A3D}" cache="Slicer_Month" caption="Month" rowHeight="241300"/>
  <slicer name="Category" xr10:uid="{00B6A8C2-172A-4192-9F15-D5A3B1719067}" cache="Slicer_Category" caption="Category" rowHeight="241300"/>
  <slicer name="Country" xr10:uid="{887420DB-50E1-4562-A87B-350A9B462F77}"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7F5D36-6906-43E1-B56C-341BC9DB0F29}" name="Data" displayName="Data" ref="A1:T41" tableType="queryTable" totalsRowShown="0" headerRowDxfId="18" headerRowBorderDxfId="17">
  <tableColumns count="20">
    <tableColumn id="1" xr3:uid="{B7E084F3-0ED3-40F7-B525-6558FA66EF3F}" uniqueName="1" name="Order id" queryTableFieldId="1"/>
    <tableColumn id="2" xr3:uid="{195CF571-C82A-4EC0-9CE1-AE3A825DADD2}" uniqueName="2" name="Month" queryTableFieldId="2" dataDxfId="16"/>
    <tableColumn id="3" xr3:uid="{3FCB02D2-F8FA-4C6A-873D-6A95FA3B6475}" uniqueName="3" name="Customer Name" queryTableFieldId="3" dataDxfId="15"/>
    <tableColumn id="4" xr3:uid="{277E2A25-510D-469C-95C9-9D8F3D7EAD4F}" uniqueName="4" name="Product Name" queryTableFieldId="4" dataDxfId="14"/>
    <tableColumn id="5" xr3:uid="{152AE94A-BD86-44F2-AEAD-6FDFF335A4E1}" uniqueName="5" name="Category" queryTableFieldId="5" dataDxfId="13"/>
    <tableColumn id="6" xr3:uid="{8437E159-24E0-42C9-B819-5FB66052B52A}" uniqueName="6" name="Quantity" queryTableFieldId="6" dataDxfId="12"/>
    <tableColumn id="7" xr3:uid="{8AB80F1D-5652-41F8-827B-5F4FF939627E}" uniqueName="7" name="Unit Price" queryTableFieldId="7" dataDxfId="11"/>
    <tableColumn id="8" xr3:uid="{4896EE9C-9546-4DCA-BB7A-C9B68FE4C0D8}" uniqueName="8" name="Discount" queryTableFieldId="8" dataDxfId="10"/>
    <tableColumn id="9" xr3:uid="{71B58A83-9260-444D-B962-F13EAFE6D7E1}" uniqueName="9" name="Shipping Cost" queryTableFieldId="9" dataDxfId="9"/>
    <tableColumn id="10" xr3:uid="{CFC65684-647C-4B0F-B25B-41E3877D3820}" uniqueName="10" name="Country" queryTableFieldId="10" dataDxfId="8"/>
    <tableColumn id="14" xr3:uid="{9F78D31B-26E0-4B2B-8716-8E253F34222B}" uniqueName="14" name="Cogs Percentage" queryTableFieldId="34" dataCellStyle="Percent"/>
    <tableColumn id="15" xr3:uid="{D42BA296-C6D7-42AE-82F8-39AFFA74EF97}" uniqueName="15" name="Marketing Cost Per Unit" queryTableFieldId="35" dataDxfId="7"/>
    <tableColumn id="16" xr3:uid="{FAF543FD-1422-47CF-B0EB-3347AA769401}" uniqueName="16" name="Warehouse Cost Per Unit" queryTableFieldId="36" dataDxfId="6"/>
    <tableColumn id="17" xr3:uid="{6FC26C69-CF8F-4FC5-8DC4-1C7A10A5B1A6}" uniqueName="17" name="Revenue" queryTableFieldId="37" dataDxfId="5">
      <calculatedColumnFormula xml:space="preserve"> (Data[[#This Row],[Unit Price]]*Data[[#This Row],[Quantity]])-Data[[#This Row],[Discount]]</calculatedColumnFormula>
    </tableColumn>
    <tableColumn id="18" xr3:uid="{EFF433F0-3DD7-4730-8B45-2740709FD317}" uniqueName="18" name="COGS" queryTableFieldId="38" dataDxfId="4">
      <calculatedColumnFormula>Data[[#This Row],[Unit Price]]*Data[[#This Row],[Quantity]]*Data[[#This Row],[Cogs Percentage]]</calculatedColumnFormula>
    </tableColumn>
    <tableColumn id="19" xr3:uid="{37BA31D8-1D97-4B94-9964-73A194EAC1A7}" uniqueName="19" name="Marketing Cost" queryTableFieldId="39" dataDxfId="3">
      <calculatedColumnFormula>Data[[#This Row],[Marketing Cost Per Unit]]*Data[[#This Row],[Quantity]]</calculatedColumnFormula>
    </tableColumn>
    <tableColumn id="20" xr3:uid="{B0402D34-DE50-4556-B021-4E12670EF873}" uniqueName="20" name="Warehouse Cost" queryTableFieldId="40" dataDxfId="2">
      <calculatedColumnFormula>Data[[#This Row],[Warehouse Cost Per Unit]]*Data[[#This Row],[Quantity]]</calculatedColumnFormula>
    </tableColumn>
    <tableColumn id="21" xr3:uid="{8DA3E13A-C0C4-48AB-86DD-D5EA6F2F5FDB}" uniqueName="21" name="Total Cost" queryTableFieldId="41" dataDxfId="1">
      <calculatedColumnFormula>Data[[#This Row],[COGS]]+Data[[#This Row],[Marketing Cost]]+Data[[#This Row],[Warehouse Cost]]+Data[[#This Row],[Shipping Cost]]</calculatedColumnFormula>
    </tableColumn>
    <tableColumn id="22" xr3:uid="{FB1E417D-0785-404B-A7A7-C9A6F449D6AA}" uniqueName="22" name="Profit" queryTableFieldId="42" dataDxfId="0">
      <calculatedColumnFormula>Data[[#This Row],[Revenue]]-Data[[#This Row],[Total Cost]]</calculatedColumnFormula>
    </tableColumn>
    <tableColumn id="23" xr3:uid="{ECED06C5-FF1A-4F8F-9A13-1ECD8F3D08E9}" uniqueName="23" name="Margin%" queryTableFieldId="43" dataCellStyle="Percent">
      <calculatedColumnFormula>(Data[[#This Row],[Profit]]/Data[[#This Row],[Revenue]])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B9170-2C6B-4B9E-9538-1E94898CE56F}">
  <dimension ref="A1:AE57"/>
  <sheetViews>
    <sheetView showGridLines="0" zoomScale="40" zoomScaleNormal="40" workbookViewId="0">
      <selection activeCell="AG55" sqref="AG55"/>
    </sheetView>
  </sheetViews>
  <sheetFormatPr defaultRowHeight="15"/>
  <cols>
    <col min="2" max="2" width="9.7109375" customWidth="1"/>
    <col min="8" max="8" width="22.7109375" bestFit="1" customWidth="1"/>
    <col min="15" max="15" width="19.5703125" bestFit="1" customWidth="1"/>
    <col min="21" max="21" width="9.5703125" bestFit="1" customWidth="1"/>
  </cols>
  <sheetData>
    <row r="1" spans="1:27">
      <c r="B1" s="63" t="s">
        <v>87</v>
      </c>
      <c r="C1" s="64"/>
      <c r="D1" s="64"/>
      <c r="E1" s="64"/>
      <c r="F1" s="64"/>
      <c r="G1" s="64"/>
      <c r="H1" s="64"/>
      <c r="I1" s="64"/>
      <c r="J1" s="64"/>
      <c r="K1" s="64"/>
      <c r="L1" s="64"/>
      <c r="M1" s="64"/>
      <c r="N1" s="64"/>
      <c r="O1" s="64"/>
      <c r="P1" s="64"/>
      <c r="Q1" s="64"/>
      <c r="R1" s="64"/>
      <c r="S1" s="64"/>
      <c r="T1" s="64"/>
      <c r="U1" s="64"/>
      <c r="V1" s="64"/>
      <c r="W1" s="64"/>
      <c r="X1" s="64"/>
      <c r="Y1" s="64"/>
      <c r="Z1" s="64"/>
      <c r="AA1" s="65"/>
    </row>
    <row r="2" spans="1:27">
      <c r="B2" s="64"/>
      <c r="C2" s="64"/>
      <c r="D2" s="64"/>
      <c r="E2" s="64"/>
      <c r="F2" s="64"/>
      <c r="G2" s="64"/>
      <c r="H2" s="64"/>
      <c r="I2" s="64"/>
      <c r="J2" s="64"/>
      <c r="K2" s="64"/>
      <c r="L2" s="64"/>
      <c r="M2" s="64"/>
      <c r="N2" s="64"/>
      <c r="O2" s="64"/>
      <c r="P2" s="64"/>
      <c r="Q2" s="64"/>
      <c r="R2" s="64"/>
      <c r="S2" s="64"/>
      <c r="T2" s="64"/>
      <c r="U2" s="64"/>
      <c r="V2" s="64"/>
      <c r="W2" s="64"/>
      <c r="X2" s="64"/>
      <c r="Y2" s="64"/>
      <c r="Z2" s="64"/>
      <c r="AA2" s="65"/>
    </row>
    <row r="3" spans="1:27">
      <c r="B3" s="64"/>
      <c r="C3" s="64"/>
      <c r="D3" s="64"/>
      <c r="E3" s="64"/>
      <c r="F3" s="64"/>
      <c r="G3" s="64"/>
      <c r="H3" s="64"/>
      <c r="I3" s="64"/>
      <c r="J3" s="64"/>
      <c r="K3" s="64"/>
      <c r="L3" s="64"/>
      <c r="M3" s="64"/>
      <c r="N3" s="64"/>
      <c r="O3" s="64"/>
      <c r="P3" s="64"/>
      <c r="Q3" s="64"/>
      <c r="R3" s="64"/>
      <c r="S3" s="64"/>
      <c r="T3" s="64"/>
      <c r="U3" s="64"/>
      <c r="V3" s="64"/>
      <c r="W3" s="64"/>
      <c r="X3" s="64"/>
      <c r="Y3" s="64"/>
      <c r="Z3" s="64"/>
      <c r="AA3" s="65"/>
    </row>
    <row r="4" spans="1:27" ht="18.75">
      <c r="A4" s="29"/>
      <c r="B4" s="36" t="str">
        <f>Sheet3!F4</f>
        <v>Total Revenue</v>
      </c>
      <c r="C4" s="37"/>
      <c r="D4" s="38"/>
      <c r="E4" s="38"/>
      <c r="F4" s="38"/>
      <c r="G4" s="30"/>
      <c r="H4" s="37" t="str">
        <f>Sheet3!F5</f>
        <v>Total Profit</v>
      </c>
      <c r="I4" s="38"/>
      <c r="J4" s="38"/>
      <c r="K4" s="38"/>
      <c r="L4" s="38"/>
      <c r="M4" s="38"/>
      <c r="N4" s="30"/>
      <c r="O4" s="37" t="str">
        <f>Sheet3!F6</f>
        <v>Average Order Value</v>
      </c>
      <c r="P4" s="37"/>
      <c r="Q4" s="38"/>
      <c r="R4" s="38"/>
      <c r="S4" s="38"/>
      <c r="T4" s="30"/>
      <c r="U4" s="37" t="str">
        <f>Sheet3!F7</f>
        <v>Total Orders</v>
      </c>
      <c r="V4" s="37"/>
      <c r="W4" s="39"/>
      <c r="X4" s="39"/>
      <c r="Y4" s="39"/>
      <c r="Z4" s="39"/>
      <c r="AA4" s="31"/>
    </row>
    <row r="5" spans="1:27" ht="38.25" customHeight="1">
      <c r="A5" s="29"/>
      <c r="B5" s="66">
        <f>Sheet3!I4</f>
        <v>2598.9449999999993</v>
      </c>
      <c r="C5" s="67"/>
      <c r="D5" s="67"/>
      <c r="E5" s="67"/>
      <c r="F5" s="40"/>
      <c r="G5" s="32"/>
      <c r="H5" s="40">
        <f>Sheet3!I5</f>
        <v>934.3950000000001</v>
      </c>
      <c r="I5" s="40"/>
      <c r="J5" s="40"/>
      <c r="K5" s="40"/>
      <c r="L5" s="40"/>
      <c r="M5" s="40"/>
      <c r="N5" s="32"/>
      <c r="O5" s="40">
        <f>Sheet3!I6</f>
        <v>64.973624999999984</v>
      </c>
      <c r="P5" s="40"/>
      <c r="Q5" s="40"/>
      <c r="R5" s="40"/>
      <c r="S5" s="40"/>
      <c r="T5" s="33"/>
      <c r="U5" s="41">
        <f>Sheet3!I7</f>
        <v>40</v>
      </c>
      <c r="V5" s="42"/>
      <c r="W5" s="43"/>
      <c r="X5" s="34"/>
      <c r="Y5" s="34"/>
      <c r="Z5" s="34"/>
      <c r="AA5" s="35"/>
    </row>
    <row r="6" spans="1:27" ht="12" customHeight="1">
      <c r="A6" s="29"/>
      <c r="B6" s="44"/>
      <c r="C6" s="45"/>
      <c r="D6" s="45"/>
      <c r="E6" s="45"/>
      <c r="F6" s="45"/>
      <c r="G6" s="46"/>
      <c r="H6" s="45"/>
      <c r="I6" s="45"/>
      <c r="J6" s="45"/>
      <c r="K6" s="45"/>
      <c r="L6" s="45"/>
      <c r="M6" s="45"/>
      <c r="N6" s="46"/>
      <c r="O6" s="45"/>
      <c r="P6" s="45"/>
      <c r="Q6" s="45"/>
      <c r="R6" s="45"/>
      <c r="S6" s="45"/>
      <c r="T6" s="46"/>
      <c r="U6" s="45"/>
      <c r="V6" s="45"/>
      <c r="W6" s="45"/>
      <c r="X6" s="45"/>
      <c r="Y6" s="45"/>
      <c r="Z6" s="45"/>
      <c r="AA6" s="46"/>
    </row>
    <row r="7" spans="1:27" ht="12" customHeight="1">
      <c r="A7" s="29"/>
      <c r="B7" s="47"/>
      <c r="C7" s="47"/>
      <c r="D7" s="47"/>
      <c r="E7" s="47"/>
      <c r="F7" s="47"/>
      <c r="G7" s="49"/>
      <c r="H7" s="47"/>
      <c r="I7" s="47"/>
      <c r="J7" s="47"/>
      <c r="K7" s="47"/>
      <c r="L7" s="47"/>
      <c r="M7" s="47"/>
      <c r="N7" s="49"/>
      <c r="O7" s="47"/>
      <c r="P7" s="47"/>
      <c r="Q7" s="47"/>
      <c r="R7" s="47"/>
      <c r="S7" s="47"/>
      <c r="T7" s="47"/>
      <c r="U7" s="52"/>
      <c r="V7" s="53"/>
      <c r="W7" s="53"/>
      <c r="X7" s="53"/>
      <c r="Y7" s="47"/>
      <c r="Z7" s="47"/>
      <c r="AA7" s="48"/>
    </row>
    <row r="8" spans="1:27" ht="12" customHeight="1">
      <c r="A8" s="29"/>
      <c r="B8" s="47"/>
      <c r="C8" s="47"/>
      <c r="D8" s="47"/>
      <c r="E8" s="47"/>
      <c r="F8" s="47"/>
      <c r="G8" s="49"/>
      <c r="H8" s="47"/>
      <c r="I8" s="47"/>
      <c r="J8" s="47"/>
      <c r="K8" s="47"/>
      <c r="L8" s="47"/>
      <c r="M8" s="47"/>
      <c r="N8" s="49"/>
      <c r="O8" s="47"/>
      <c r="P8" s="47"/>
      <c r="Q8" s="47"/>
      <c r="R8" s="47"/>
      <c r="S8" s="47"/>
      <c r="T8" s="47"/>
      <c r="U8" s="54"/>
      <c r="V8" s="47"/>
      <c r="W8" s="47"/>
      <c r="X8" s="47"/>
      <c r="Y8" s="47"/>
      <c r="Z8" s="47"/>
      <c r="AA8" s="49"/>
    </row>
    <row r="9" spans="1:27" ht="12" customHeight="1">
      <c r="A9" s="29"/>
      <c r="B9" s="47"/>
      <c r="C9" s="47"/>
      <c r="D9" s="47"/>
      <c r="E9" s="47"/>
      <c r="F9" s="47"/>
      <c r="G9" s="49"/>
      <c r="H9" s="47"/>
      <c r="I9" s="47"/>
      <c r="J9" s="47"/>
      <c r="K9" s="47"/>
      <c r="L9" s="47"/>
      <c r="M9" s="47"/>
      <c r="N9" s="49"/>
      <c r="O9" s="47"/>
      <c r="P9" s="47"/>
      <c r="Q9" s="47"/>
      <c r="R9" s="47"/>
      <c r="S9" s="47"/>
      <c r="T9" s="47"/>
      <c r="U9" s="54"/>
      <c r="V9" s="47"/>
      <c r="W9" s="47"/>
      <c r="X9" s="47"/>
      <c r="Y9" s="47"/>
      <c r="Z9" s="47"/>
      <c r="AA9" s="49"/>
    </row>
    <row r="10" spans="1:27" ht="12" customHeight="1">
      <c r="A10" s="29"/>
      <c r="B10" s="47"/>
      <c r="C10" s="47"/>
      <c r="D10" s="47"/>
      <c r="E10" s="47"/>
      <c r="F10" s="47"/>
      <c r="G10" s="49"/>
      <c r="H10" s="47"/>
      <c r="I10" s="47"/>
      <c r="J10" s="47"/>
      <c r="K10" s="47"/>
      <c r="L10" s="47"/>
      <c r="M10" s="47"/>
      <c r="N10" s="49"/>
      <c r="O10" s="47"/>
      <c r="P10" s="47"/>
      <c r="Q10" s="47"/>
      <c r="R10" s="47"/>
      <c r="S10" s="47"/>
      <c r="T10" s="47"/>
      <c r="U10" s="54"/>
      <c r="V10" s="47"/>
      <c r="W10" s="47"/>
      <c r="X10" s="47"/>
      <c r="Y10" s="47"/>
      <c r="Z10" s="47"/>
      <c r="AA10" s="49"/>
    </row>
    <row r="11" spans="1:27" ht="12" customHeight="1">
      <c r="A11" s="29"/>
      <c r="B11" s="47"/>
      <c r="C11" s="47"/>
      <c r="D11" s="47"/>
      <c r="E11" s="47"/>
      <c r="F11" s="47"/>
      <c r="G11" s="49"/>
      <c r="H11" s="47"/>
      <c r="I11" s="47"/>
      <c r="J11" s="47"/>
      <c r="K11" s="47"/>
      <c r="L11" s="47"/>
      <c r="M11" s="47"/>
      <c r="N11" s="49"/>
      <c r="O11" s="47"/>
      <c r="P11" s="47"/>
      <c r="Q11" s="47"/>
      <c r="R11" s="47"/>
      <c r="S11" s="47"/>
      <c r="T11" s="47"/>
      <c r="U11" s="54"/>
      <c r="V11" s="47"/>
      <c r="W11" s="47"/>
      <c r="X11" s="47"/>
      <c r="Y11" s="47"/>
      <c r="Z11" s="47"/>
      <c r="AA11" s="49"/>
    </row>
    <row r="12" spans="1:27" ht="12" customHeight="1">
      <c r="A12" s="29"/>
      <c r="B12" s="47"/>
      <c r="C12" s="47"/>
      <c r="D12" s="47"/>
      <c r="E12" s="47"/>
      <c r="F12" s="47"/>
      <c r="G12" s="49"/>
      <c r="H12" s="47"/>
      <c r="I12" s="47"/>
      <c r="J12" s="47"/>
      <c r="K12" s="47"/>
      <c r="L12" s="47"/>
      <c r="M12" s="47"/>
      <c r="N12" s="49"/>
      <c r="O12" s="47"/>
      <c r="P12" s="47"/>
      <c r="Q12" s="47"/>
      <c r="R12" s="47"/>
      <c r="S12" s="47"/>
      <c r="T12" s="47"/>
      <c r="U12" s="54"/>
      <c r="V12" s="47"/>
      <c r="W12" s="47"/>
      <c r="X12" s="47"/>
      <c r="Y12" s="47"/>
      <c r="Z12" s="47"/>
      <c r="AA12" s="49"/>
    </row>
    <row r="13" spans="1:27" ht="12" customHeight="1">
      <c r="A13" s="29"/>
      <c r="B13" s="47"/>
      <c r="C13" s="47"/>
      <c r="D13" s="47"/>
      <c r="E13" s="47"/>
      <c r="F13" s="47"/>
      <c r="G13" s="49"/>
      <c r="H13" s="47"/>
      <c r="I13" s="47"/>
      <c r="J13" s="47"/>
      <c r="K13" s="47"/>
      <c r="L13" s="47"/>
      <c r="M13" s="47"/>
      <c r="N13" s="49"/>
      <c r="O13" s="47"/>
      <c r="P13" s="47"/>
      <c r="Q13" s="47"/>
      <c r="R13" s="47"/>
      <c r="S13" s="47"/>
      <c r="T13" s="47"/>
      <c r="U13" s="54"/>
      <c r="V13" s="47"/>
      <c r="W13" s="47"/>
      <c r="X13" s="47"/>
      <c r="Y13" s="47"/>
      <c r="Z13" s="47"/>
      <c r="AA13" s="49"/>
    </row>
    <row r="14" spans="1:27" ht="12" customHeight="1">
      <c r="A14" s="29"/>
      <c r="B14" s="47"/>
      <c r="C14" s="47"/>
      <c r="D14" s="47"/>
      <c r="E14" s="47"/>
      <c r="F14" s="47"/>
      <c r="G14" s="49"/>
      <c r="H14" s="47"/>
      <c r="I14" s="47"/>
      <c r="J14" s="47"/>
      <c r="K14" s="47"/>
      <c r="L14" s="47"/>
      <c r="M14" s="47"/>
      <c r="N14" s="49"/>
      <c r="O14" s="47"/>
      <c r="P14" s="47"/>
      <c r="Q14" s="47"/>
      <c r="R14" s="47"/>
      <c r="S14" s="47"/>
      <c r="T14" s="47"/>
      <c r="U14" s="54"/>
      <c r="V14" s="47"/>
      <c r="W14" s="47"/>
      <c r="X14" s="47"/>
      <c r="Y14" s="47"/>
      <c r="Z14" s="47"/>
      <c r="AA14" s="49"/>
    </row>
    <row r="15" spans="1:27" ht="12" customHeight="1">
      <c r="A15" s="29"/>
      <c r="B15" s="47"/>
      <c r="C15" s="47"/>
      <c r="D15" s="47"/>
      <c r="E15" s="47"/>
      <c r="F15" s="47"/>
      <c r="G15" s="49"/>
      <c r="H15" s="47"/>
      <c r="I15" s="47"/>
      <c r="J15" s="47"/>
      <c r="K15" s="47"/>
      <c r="L15" s="47"/>
      <c r="M15" s="47"/>
      <c r="N15" s="49"/>
      <c r="O15" s="47"/>
      <c r="P15" s="47"/>
      <c r="Q15" s="47"/>
      <c r="R15" s="47"/>
      <c r="S15" s="47"/>
      <c r="T15" s="47"/>
      <c r="U15" s="54"/>
      <c r="V15" s="47"/>
      <c r="W15" s="47"/>
      <c r="X15" s="47"/>
      <c r="Y15" s="47"/>
      <c r="Z15" s="47"/>
      <c r="AA15" s="49"/>
    </row>
    <row r="16" spans="1:27" ht="12" customHeight="1">
      <c r="A16" s="29"/>
      <c r="B16" s="47"/>
      <c r="C16" s="47"/>
      <c r="D16" s="47"/>
      <c r="E16" s="47"/>
      <c r="F16" s="47"/>
      <c r="G16" s="49"/>
      <c r="H16" s="47"/>
      <c r="I16" s="47"/>
      <c r="J16" s="47"/>
      <c r="K16" s="47"/>
      <c r="L16" s="47"/>
      <c r="M16" s="47"/>
      <c r="N16" s="49"/>
      <c r="O16" s="47"/>
      <c r="P16" s="47"/>
      <c r="Q16" s="47"/>
      <c r="R16" s="47"/>
      <c r="S16" s="47"/>
      <c r="T16" s="47"/>
      <c r="U16" s="54"/>
      <c r="V16" s="47"/>
      <c r="W16" s="47"/>
      <c r="X16" s="47"/>
      <c r="Y16" s="47"/>
      <c r="Z16" s="47"/>
      <c r="AA16" s="49"/>
    </row>
    <row r="17" spans="1:27" ht="12" customHeight="1">
      <c r="A17" s="29"/>
      <c r="B17" s="47"/>
      <c r="C17" s="47"/>
      <c r="D17" s="47"/>
      <c r="E17" s="47"/>
      <c r="F17" s="47"/>
      <c r="G17" s="49"/>
      <c r="H17" s="47"/>
      <c r="I17" s="47"/>
      <c r="J17" s="47"/>
      <c r="K17" s="47"/>
      <c r="L17" s="47"/>
      <c r="M17" s="47"/>
      <c r="N17" s="49"/>
      <c r="O17" s="47"/>
      <c r="P17" s="47"/>
      <c r="Q17" s="47"/>
      <c r="R17" s="47"/>
      <c r="S17" s="47"/>
      <c r="T17" s="47"/>
      <c r="U17" s="54"/>
      <c r="V17" s="47"/>
      <c r="W17" s="47"/>
      <c r="X17" s="47"/>
      <c r="Y17" s="47"/>
      <c r="Z17" s="47"/>
      <c r="AA17" s="49"/>
    </row>
    <row r="18" spans="1:27" ht="12" customHeight="1">
      <c r="A18" s="29"/>
      <c r="B18" s="47"/>
      <c r="C18" s="47"/>
      <c r="D18" s="47"/>
      <c r="E18" s="47"/>
      <c r="F18" s="47"/>
      <c r="G18" s="49"/>
      <c r="H18" s="47"/>
      <c r="I18" s="47"/>
      <c r="J18" s="47"/>
      <c r="K18" s="47"/>
      <c r="L18" s="47"/>
      <c r="M18" s="47"/>
      <c r="N18" s="49"/>
      <c r="O18" s="47"/>
      <c r="P18" s="47"/>
      <c r="Q18" s="47"/>
      <c r="R18" s="47"/>
      <c r="S18" s="47"/>
      <c r="T18" s="47"/>
      <c r="U18" s="54"/>
      <c r="V18" s="47"/>
      <c r="W18" s="47"/>
      <c r="X18" s="47"/>
      <c r="Y18" s="47"/>
      <c r="Z18" s="47"/>
      <c r="AA18" s="49"/>
    </row>
    <row r="19" spans="1:27" ht="12" customHeight="1">
      <c r="A19" s="29"/>
      <c r="B19" s="47"/>
      <c r="C19" s="47"/>
      <c r="D19" s="47"/>
      <c r="E19" s="47"/>
      <c r="F19" s="47"/>
      <c r="G19" s="49"/>
      <c r="H19" s="47"/>
      <c r="I19" s="47"/>
      <c r="J19" s="47"/>
      <c r="K19" s="47"/>
      <c r="L19" s="47"/>
      <c r="M19" s="47"/>
      <c r="N19" s="49"/>
      <c r="O19" s="47"/>
      <c r="P19" s="47"/>
      <c r="Q19" s="47"/>
      <c r="R19" s="47"/>
      <c r="S19" s="47"/>
      <c r="T19" s="47"/>
      <c r="U19" s="54"/>
      <c r="V19" s="47"/>
      <c r="W19" s="47"/>
      <c r="X19" s="47"/>
      <c r="Y19" s="47"/>
      <c r="Z19" s="47"/>
      <c r="AA19" s="49"/>
    </row>
    <row r="20" spans="1:27" ht="12" customHeight="1">
      <c r="A20" s="29"/>
      <c r="B20" s="47"/>
      <c r="C20" s="47"/>
      <c r="D20" s="47"/>
      <c r="E20" s="47"/>
      <c r="F20" s="47"/>
      <c r="G20" s="49"/>
      <c r="H20" s="47"/>
      <c r="I20" s="47"/>
      <c r="J20" s="47"/>
      <c r="K20" s="47"/>
      <c r="L20" s="47"/>
      <c r="M20" s="47"/>
      <c r="N20" s="49"/>
      <c r="O20" s="47"/>
      <c r="P20" s="47"/>
      <c r="Q20" s="47"/>
      <c r="R20" s="47"/>
      <c r="S20" s="47"/>
      <c r="T20" s="47"/>
      <c r="U20" s="54"/>
      <c r="V20" s="47"/>
      <c r="W20" s="47"/>
      <c r="X20" s="47"/>
      <c r="Y20" s="47"/>
      <c r="Z20" s="47"/>
      <c r="AA20" s="49"/>
    </row>
    <row r="21" spans="1:27" ht="12" customHeight="1">
      <c r="A21" s="29"/>
      <c r="B21" s="47"/>
      <c r="C21" s="47"/>
      <c r="D21" s="47"/>
      <c r="E21" s="47"/>
      <c r="F21" s="47"/>
      <c r="G21" s="49"/>
      <c r="H21" s="47"/>
      <c r="I21" s="47"/>
      <c r="J21" s="47"/>
      <c r="K21" s="47"/>
      <c r="L21" s="47"/>
      <c r="M21" s="47"/>
      <c r="N21" s="49"/>
      <c r="O21" s="47"/>
      <c r="P21" s="47"/>
      <c r="Q21" s="47"/>
      <c r="R21" s="47"/>
      <c r="S21" s="47"/>
      <c r="T21" s="47"/>
      <c r="U21" s="54"/>
      <c r="V21" s="47"/>
      <c r="W21" s="47"/>
      <c r="X21" s="47"/>
      <c r="Y21" s="47"/>
      <c r="Z21" s="47"/>
      <c r="AA21" s="49"/>
    </row>
    <row r="22" spans="1:27" ht="18" customHeight="1">
      <c r="A22" s="29"/>
      <c r="B22" s="47"/>
      <c r="C22" s="47"/>
      <c r="D22" s="47"/>
      <c r="E22" s="47"/>
      <c r="F22" s="47"/>
      <c r="G22" s="49"/>
      <c r="H22" s="47"/>
      <c r="I22" s="47"/>
      <c r="J22" s="47"/>
      <c r="K22" s="47"/>
      <c r="L22" s="47"/>
      <c r="M22" s="47"/>
      <c r="N22" s="49"/>
      <c r="O22" s="47"/>
      <c r="P22" s="47"/>
      <c r="Q22" s="47"/>
      <c r="R22" s="47"/>
      <c r="S22" s="47"/>
      <c r="T22" s="47"/>
      <c r="U22" s="54"/>
      <c r="V22" s="47"/>
      <c r="W22" s="47"/>
      <c r="X22" s="47"/>
      <c r="Y22" s="47"/>
      <c r="Z22" s="47"/>
      <c r="AA22" s="49"/>
    </row>
    <row r="23" spans="1:27" ht="5.25" customHeight="1">
      <c r="A23" s="29"/>
      <c r="B23" s="47"/>
      <c r="C23" s="47"/>
      <c r="D23" s="47"/>
      <c r="E23" s="47"/>
      <c r="F23" s="47"/>
      <c r="G23" s="50"/>
      <c r="H23" s="47"/>
      <c r="I23" s="47"/>
      <c r="J23" s="47"/>
      <c r="K23" s="47"/>
      <c r="L23" s="47"/>
      <c r="M23" s="47"/>
      <c r="N23" s="49"/>
      <c r="O23" s="47"/>
      <c r="P23" s="47"/>
      <c r="Q23" s="47"/>
      <c r="R23" s="47"/>
      <c r="S23" s="47"/>
      <c r="T23" s="47"/>
      <c r="U23" s="51"/>
      <c r="V23" s="55"/>
      <c r="W23" s="55"/>
      <c r="X23" s="55"/>
      <c r="Y23" s="47"/>
      <c r="Z23" s="47"/>
      <c r="AA23" s="50"/>
    </row>
    <row r="24" spans="1:27">
      <c r="A24" s="29"/>
      <c r="B24" s="22"/>
      <c r="C24" s="23"/>
      <c r="D24" s="23"/>
      <c r="E24" s="23"/>
      <c r="F24" s="23"/>
      <c r="G24" s="23"/>
      <c r="H24" s="23"/>
      <c r="I24" s="23"/>
      <c r="J24" s="23"/>
      <c r="K24" s="23"/>
      <c r="L24" s="23"/>
      <c r="M24" s="23"/>
      <c r="N24" s="28"/>
      <c r="O24" s="23"/>
      <c r="P24" s="23"/>
      <c r="Q24" s="23"/>
      <c r="R24" s="23"/>
      <c r="S24" s="23"/>
      <c r="T24" s="23"/>
      <c r="U24" s="23"/>
      <c r="V24" s="23"/>
      <c r="W24" s="23"/>
      <c r="X24" s="23"/>
      <c r="Y24" s="23"/>
      <c r="Z24" s="23"/>
      <c r="AA24" s="24"/>
    </row>
    <row r="25" spans="1:27">
      <c r="B25" s="17"/>
      <c r="N25" s="18"/>
      <c r="O25" s="25"/>
      <c r="AA25" s="18"/>
    </row>
    <row r="26" spans="1:27">
      <c r="B26" s="17"/>
      <c r="N26" s="18"/>
      <c r="O26" s="25"/>
      <c r="AA26" s="18"/>
    </row>
    <row r="27" spans="1:27">
      <c r="B27" s="17"/>
      <c r="N27" s="18"/>
      <c r="O27" s="25"/>
      <c r="AA27" s="18"/>
    </row>
    <row r="28" spans="1:27">
      <c r="B28" s="17"/>
      <c r="N28" s="18"/>
      <c r="O28" s="25"/>
      <c r="AA28" s="18"/>
    </row>
    <row r="29" spans="1:27">
      <c r="B29" s="17"/>
      <c r="N29" s="18"/>
      <c r="O29" s="25"/>
      <c r="AA29" s="18"/>
    </row>
    <row r="30" spans="1:27">
      <c r="B30" s="17"/>
      <c r="N30" s="18"/>
      <c r="O30" s="25"/>
      <c r="AA30" s="18"/>
    </row>
    <row r="31" spans="1:27">
      <c r="B31" s="17"/>
      <c r="N31" s="18"/>
      <c r="O31" s="25"/>
      <c r="AA31" s="18"/>
    </row>
    <row r="32" spans="1:27">
      <c r="B32" s="17"/>
      <c r="N32" s="18"/>
      <c r="O32" s="25"/>
      <c r="AA32" s="18"/>
    </row>
    <row r="33" spans="2:27">
      <c r="B33" s="17"/>
      <c r="N33" s="18"/>
      <c r="O33" s="25"/>
      <c r="AA33" s="18"/>
    </row>
    <row r="34" spans="2:27">
      <c r="B34" s="17"/>
      <c r="N34" s="18"/>
      <c r="O34" s="25"/>
      <c r="AA34" s="18"/>
    </row>
    <row r="35" spans="2:27">
      <c r="B35" s="17"/>
      <c r="N35" s="18"/>
      <c r="O35" s="25"/>
      <c r="AA35" s="18"/>
    </row>
    <row r="36" spans="2:27">
      <c r="B36" s="17"/>
      <c r="N36" s="18"/>
      <c r="O36" s="25"/>
      <c r="AA36" s="18"/>
    </row>
    <row r="37" spans="2:27">
      <c r="B37" s="17"/>
      <c r="N37" s="18"/>
      <c r="O37" s="25"/>
      <c r="AA37" s="18"/>
    </row>
    <row r="38" spans="2:27">
      <c r="B38" s="17"/>
      <c r="N38" s="18"/>
      <c r="O38" s="25"/>
      <c r="AA38" s="18"/>
    </row>
    <row r="39" spans="2:27">
      <c r="B39" s="17"/>
      <c r="N39" s="18"/>
      <c r="O39" s="25"/>
      <c r="AA39" s="18"/>
    </row>
    <row r="40" spans="2:27">
      <c r="B40" s="19"/>
      <c r="C40" s="20"/>
      <c r="D40" s="20"/>
      <c r="E40" s="20"/>
      <c r="F40" s="20"/>
      <c r="G40" s="20"/>
      <c r="H40" s="20"/>
      <c r="I40" s="20"/>
      <c r="J40" s="20"/>
      <c r="K40" s="20"/>
      <c r="L40" s="20"/>
      <c r="M40" s="20"/>
      <c r="N40" s="21"/>
      <c r="O40" s="26"/>
      <c r="P40" s="20"/>
      <c r="Q40" s="20"/>
      <c r="R40" s="20"/>
      <c r="S40" s="20"/>
      <c r="T40" s="20"/>
      <c r="U40" s="20"/>
      <c r="V40" s="20"/>
      <c r="W40" s="20"/>
      <c r="X40" s="20"/>
      <c r="Y40" s="20"/>
      <c r="Z40" s="20"/>
      <c r="AA40" s="21"/>
    </row>
    <row r="41" spans="2:27">
      <c r="B41" s="22"/>
      <c r="C41" s="23"/>
      <c r="D41" s="23"/>
      <c r="E41" s="23"/>
      <c r="F41" s="23"/>
      <c r="G41" s="23"/>
      <c r="H41" s="23"/>
      <c r="I41" s="23"/>
      <c r="J41" s="23"/>
      <c r="K41" s="23"/>
      <c r="L41" s="23"/>
      <c r="M41" s="23"/>
      <c r="N41" s="24"/>
      <c r="O41" s="27"/>
      <c r="P41" s="23"/>
      <c r="Q41" s="23"/>
      <c r="R41" s="23"/>
      <c r="S41" s="23"/>
      <c r="T41" s="23"/>
      <c r="U41" s="23"/>
      <c r="V41" s="23"/>
      <c r="W41" s="23"/>
      <c r="X41" s="23"/>
      <c r="Y41" s="23"/>
      <c r="Z41" s="23"/>
      <c r="AA41" s="24"/>
    </row>
    <row r="42" spans="2:27">
      <c r="B42" s="17"/>
      <c r="N42" s="18"/>
      <c r="O42" s="25"/>
      <c r="AA42" s="18"/>
    </row>
    <row r="43" spans="2:27">
      <c r="B43" s="17"/>
      <c r="N43" s="18"/>
      <c r="O43" s="25"/>
      <c r="AA43" s="18"/>
    </row>
    <row r="44" spans="2:27">
      <c r="B44" s="17"/>
      <c r="N44" s="18"/>
      <c r="O44" s="25"/>
      <c r="AA44" s="18"/>
    </row>
    <row r="45" spans="2:27">
      <c r="B45" s="17"/>
      <c r="N45" s="18"/>
      <c r="O45" s="25"/>
      <c r="AA45" s="18"/>
    </row>
    <row r="46" spans="2:27">
      <c r="B46" s="17"/>
      <c r="N46" s="18"/>
      <c r="O46" s="25"/>
      <c r="AA46" s="18"/>
    </row>
    <row r="47" spans="2:27">
      <c r="B47" s="17"/>
      <c r="N47" s="18"/>
      <c r="O47" s="25"/>
      <c r="AA47" s="18"/>
    </row>
    <row r="48" spans="2:27">
      <c r="B48" s="17"/>
      <c r="N48" s="18"/>
      <c r="O48" s="25"/>
      <c r="AA48" s="18"/>
    </row>
    <row r="49" spans="2:31">
      <c r="B49" s="17"/>
      <c r="N49" s="18"/>
      <c r="O49" s="25"/>
      <c r="AA49" s="18"/>
    </row>
    <row r="50" spans="2:31">
      <c r="B50" s="17"/>
      <c r="N50" s="18"/>
      <c r="O50" s="25"/>
      <c r="AA50" s="18"/>
    </row>
    <row r="51" spans="2:31">
      <c r="N51" s="18"/>
      <c r="O51" s="25"/>
      <c r="AA51" s="18"/>
    </row>
    <row r="52" spans="2:31">
      <c r="N52" s="18"/>
      <c r="O52" s="25"/>
      <c r="AA52" s="18"/>
      <c r="AE52" s="56"/>
    </row>
    <row r="53" spans="2:31">
      <c r="N53" s="18"/>
      <c r="O53" s="25"/>
      <c r="AA53" s="18"/>
    </row>
    <row r="54" spans="2:31">
      <c r="N54" s="18"/>
      <c r="O54" s="25"/>
      <c r="AA54" s="18"/>
    </row>
    <row r="55" spans="2:31">
      <c r="N55" s="18"/>
      <c r="O55" s="25"/>
      <c r="AA55" s="18"/>
    </row>
    <row r="56" spans="2:31">
      <c r="N56" s="18"/>
      <c r="O56" s="25"/>
      <c r="AA56" s="18"/>
    </row>
    <row r="57" spans="2:31">
      <c r="B57" s="20"/>
      <c r="C57" s="20"/>
      <c r="D57" s="20"/>
      <c r="E57" s="20"/>
      <c r="F57" s="20"/>
      <c r="G57" s="20"/>
      <c r="H57" s="20"/>
      <c r="I57" s="20"/>
      <c r="J57" s="20"/>
      <c r="K57" s="20"/>
      <c r="L57" s="20"/>
      <c r="M57" s="20"/>
      <c r="N57" s="21"/>
      <c r="O57" s="26"/>
      <c r="P57" s="20"/>
      <c r="Q57" s="20"/>
      <c r="R57" s="20"/>
      <c r="S57" s="20"/>
      <c r="T57" s="20"/>
      <c r="U57" s="20"/>
      <c r="V57" s="20"/>
      <c r="W57" s="20"/>
      <c r="X57" s="20"/>
      <c r="Y57" s="20"/>
      <c r="Z57" s="20"/>
      <c r="AA57" s="21"/>
    </row>
  </sheetData>
  <mergeCells count="2">
    <mergeCell ref="B1:AA3"/>
    <mergeCell ref="B5:E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9B56C-FE8D-4458-A6C3-EA4EA9744542}">
  <dimension ref="A1:U41"/>
  <sheetViews>
    <sheetView topLeftCell="A28" zoomScaleNormal="100" workbookViewId="0">
      <selection activeCell="X28" sqref="X1:X1048576"/>
    </sheetView>
  </sheetViews>
  <sheetFormatPr defaultRowHeight="15"/>
  <cols>
    <col min="1" max="2" width="10.85546875" bestFit="1" customWidth="1"/>
    <col min="3" max="3" width="10.5703125" bestFit="1" customWidth="1"/>
    <col min="5" max="5" width="10" bestFit="1" customWidth="1"/>
    <col min="7" max="7" width="13.28515625" bestFit="1" customWidth="1"/>
    <col min="9" max="9" width="16" bestFit="1" customWidth="1"/>
    <col min="10" max="10" width="23.5703125" bestFit="1" customWidth="1"/>
    <col min="12" max="12" width="9.140625" style="6"/>
    <col min="16" max="16" width="10.28515625" bestFit="1" customWidth="1"/>
    <col min="24" max="24" width="25" bestFit="1" customWidth="1"/>
    <col min="25" max="25" width="19.85546875" bestFit="1" customWidth="1"/>
    <col min="26" max="26" width="16.42578125" bestFit="1" customWidth="1"/>
  </cols>
  <sheetData>
    <row r="1" spans="1:21">
      <c r="A1" s="10" t="s">
        <v>68</v>
      </c>
      <c r="B1" s="10" t="s">
        <v>66</v>
      </c>
      <c r="C1" s="10" t="s">
        <v>69</v>
      </c>
      <c r="D1" s="10" t="s">
        <v>70</v>
      </c>
      <c r="E1" s="10" t="s">
        <v>71</v>
      </c>
      <c r="F1" s="11" t="s">
        <v>72</v>
      </c>
      <c r="G1" s="12" t="s">
        <v>73</v>
      </c>
      <c r="H1" s="10" t="s">
        <v>74</v>
      </c>
      <c r="I1" s="13" t="s">
        <v>75</v>
      </c>
      <c r="J1" s="10" t="s">
        <v>67</v>
      </c>
      <c r="K1" s="14" t="s">
        <v>76</v>
      </c>
      <c r="L1" s="12" t="s">
        <v>77</v>
      </c>
      <c r="M1" s="15" t="s">
        <v>78</v>
      </c>
      <c r="N1" s="13" t="s">
        <v>0</v>
      </c>
      <c r="O1" s="10" t="s">
        <v>1</v>
      </c>
      <c r="P1" s="10" t="s">
        <v>81</v>
      </c>
      <c r="Q1" s="10" t="s">
        <v>80</v>
      </c>
      <c r="R1" s="10" t="s">
        <v>79</v>
      </c>
      <c r="S1" s="10" t="s">
        <v>2</v>
      </c>
      <c r="T1" s="14" t="s">
        <v>3</v>
      </c>
    </row>
    <row r="2" spans="1:21">
      <c r="A2">
        <v>1001</v>
      </c>
      <c r="B2" s="2" t="s">
        <v>89</v>
      </c>
      <c r="C2" t="s">
        <v>4</v>
      </c>
      <c r="D2" t="s">
        <v>5</v>
      </c>
      <c r="E2" t="s">
        <v>6</v>
      </c>
      <c r="F2" s="4">
        <v>2</v>
      </c>
      <c r="G2" s="5">
        <v>25</v>
      </c>
      <c r="H2" s="7">
        <v>0</v>
      </c>
      <c r="I2" s="6">
        <v>5.5</v>
      </c>
      <c r="J2" t="s">
        <v>7</v>
      </c>
      <c r="K2" s="8">
        <v>0.35</v>
      </c>
      <c r="L2" s="5">
        <v>3</v>
      </c>
      <c r="M2" s="9">
        <v>1.5</v>
      </c>
      <c r="N2" s="6">
        <f xml:space="preserve"> (Data[[#This Row],[Unit Price]]*Data[[#This Row],[Quantity]])-Data[[#This Row],[Discount]]</f>
        <v>50</v>
      </c>
      <c r="O2" s="5">
        <f>Data[[#This Row],[Unit Price]]*Data[[#This Row],[Quantity]]*Data[[#This Row],[Cogs Percentage]]</f>
        <v>17.5</v>
      </c>
      <c r="P2" s="5">
        <f>Data[[#This Row],[Marketing Cost Per Unit]]*Data[[#This Row],[Quantity]]</f>
        <v>6</v>
      </c>
      <c r="Q2" s="9">
        <f>Data[[#This Row],[Warehouse Cost Per Unit]]*Data[[#This Row],[Quantity]]</f>
        <v>3</v>
      </c>
      <c r="R2" s="5">
        <f>Data[[#This Row],[COGS]]+Data[[#This Row],[Marketing Cost]]+Data[[#This Row],[Warehouse Cost]]+Data[[#This Row],[Shipping Cost]]</f>
        <v>32</v>
      </c>
      <c r="S2" s="5">
        <f>Data[[#This Row],[Revenue]]-Data[[#This Row],[Total Cost]]</f>
        <v>18</v>
      </c>
      <c r="T2" s="8">
        <f>(Data[[#This Row],[Profit]]/Data[[#This Row],[Revenue]])</f>
        <v>0.36</v>
      </c>
      <c r="U2" s="1"/>
    </row>
    <row r="3" spans="1:21">
      <c r="A3">
        <v>1002</v>
      </c>
      <c r="B3" s="2" t="s">
        <v>89</v>
      </c>
      <c r="C3" t="s">
        <v>8</v>
      </c>
      <c r="D3" t="s">
        <v>5</v>
      </c>
      <c r="E3" t="s">
        <v>6</v>
      </c>
      <c r="F3" s="4">
        <v>1</v>
      </c>
      <c r="G3" s="5">
        <v>25</v>
      </c>
      <c r="H3" s="7">
        <v>2.5000000000000001E-2</v>
      </c>
      <c r="I3" s="6">
        <v>5.5</v>
      </c>
      <c r="J3" t="s">
        <v>9</v>
      </c>
      <c r="K3" s="8">
        <v>0.35</v>
      </c>
      <c r="L3" s="5">
        <v>3</v>
      </c>
      <c r="M3" s="9">
        <v>1.5</v>
      </c>
      <c r="N3" s="6">
        <f xml:space="preserve"> (Data[[#This Row],[Unit Price]]*Data[[#This Row],[Quantity]])-Data[[#This Row],[Discount]]</f>
        <v>24.975000000000001</v>
      </c>
      <c r="O3" s="5">
        <f>Data[[#This Row],[Unit Price]]*Data[[#This Row],[Quantity]]*Data[[#This Row],[Cogs Percentage]]</f>
        <v>8.75</v>
      </c>
      <c r="P3" s="5">
        <f>Data[[#This Row],[Marketing Cost Per Unit]]*Data[[#This Row],[Quantity]]</f>
        <v>3</v>
      </c>
      <c r="Q3" s="9">
        <f>Data[[#This Row],[Warehouse Cost Per Unit]]*Data[[#This Row],[Quantity]]</f>
        <v>1.5</v>
      </c>
      <c r="R3" s="5">
        <f>Data[[#This Row],[COGS]]+Data[[#This Row],[Marketing Cost]]+Data[[#This Row],[Warehouse Cost]]+Data[[#This Row],[Shipping Cost]]</f>
        <v>18.75</v>
      </c>
      <c r="S3" s="5">
        <f>Data[[#This Row],[Revenue]]-Data[[#This Row],[Total Cost]]</f>
        <v>6.2250000000000014</v>
      </c>
      <c r="T3" s="8">
        <f>(Data[[#This Row],[Profit]]/Data[[#This Row],[Revenue]])</f>
        <v>0.24924924924924929</v>
      </c>
      <c r="U3" s="1"/>
    </row>
    <row r="4" spans="1:21">
      <c r="A4">
        <v>1006</v>
      </c>
      <c r="B4" s="2" t="s">
        <v>89</v>
      </c>
      <c r="C4" t="s">
        <v>10</v>
      </c>
      <c r="D4" t="s">
        <v>5</v>
      </c>
      <c r="E4" t="s">
        <v>6</v>
      </c>
      <c r="F4" s="4">
        <v>3</v>
      </c>
      <c r="G4" s="5">
        <v>25</v>
      </c>
      <c r="H4" s="7">
        <v>3.7499999999999999E-2</v>
      </c>
      <c r="I4" s="6">
        <v>5.5</v>
      </c>
      <c r="J4" t="s">
        <v>11</v>
      </c>
      <c r="K4" s="8">
        <v>0.35</v>
      </c>
      <c r="L4" s="5">
        <v>3</v>
      </c>
      <c r="M4" s="9">
        <v>1.5</v>
      </c>
      <c r="N4" s="6">
        <f xml:space="preserve"> (Data[[#This Row],[Unit Price]]*Data[[#This Row],[Quantity]])-Data[[#This Row],[Discount]]</f>
        <v>74.962500000000006</v>
      </c>
      <c r="O4" s="5">
        <f>Data[[#This Row],[Unit Price]]*Data[[#This Row],[Quantity]]*Data[[#This Row],[Cogs Percentage]]</f>
        <v>26.25</v>
      </c>
      <c r="P4" s="5">
        <f>Data[[#This Row],[Marketing Cost Per Unit]]*Data[[#This Row],[Quantity]]</f>
        <v>9</v>
      </c>
      <c r="Q4" s="9">
        <f>Data[[#This Row],[Warehouse Cost Per Unit]]*Data[[#This Row],[Quantity]]</f>
        <v>4.5</v>
      </c>
      <c r="R4" s="5">
        <f>Data[[#This Row],[COGS]]+Data[[#This Row],[Marketing Cost]]+Data[[#This Row],[Warehouse Cost]]+Data[[#This Row],[Shipping Cost]]</f>
        <v>45.25</v>
      </c>
      <c r="S4" s="5">
        <f>Data[[#This Row],[Revenue]]-Data[[#This Row],[Total Cost]]</f>
        <v>29.712500000000006</v>
      </c>
      <c r="T4" s="8">
        <f>(Data[[#This Row],[Profit]]/Data[[#This Row],[Revenue]])</f>
        <v>0.39636484909121233</v>
      </c>
      <c r="U4" s="1"/>
    </row>
    <row r="5" spans="1:21">
      <c r="A5">
        <v>1013</v>
      </c>
      <c r="B5" s="2" t="s">
        <v>89</v>
      </c>
      <c r="C5" t="s">
        <v>12</v>
      </c>
      <c r="D5" t="s">
        <v>13</v>
      </c>
      <c r="E5" t="s">
        <v>6</v>
      </c>
      <c r="F5" s="4">
        <v>4</v>
      </c>
      <c r="G5" s="5">
        <v>25</v>
      </c>
      <c r="H5" s="7">
        <v>0.05</v>
      </c>
      <c r="I5" s="6">
        <v>5.5</v>
      </c>
      <c r="J5" t="s">
        <v>7</v>
      </c>
      <c r="K5" s="8">
        <v>0.35</v>
      </c>
      <c r="L5" s="5">
        <v>3</v>
      </c>
      <c r="M5" s="9">
        <v>1.5</v>
      </c>
      <c r="N5" s="6">
        <f xml:space="preserve"> (Data[[#This Row],[Unit Price]]*Data[[#This Row],[Quantity]])-Data[[#This Row],[Discount]]</f>
        <v>99.95</v>
      </c>
      <c r="O5" s="5">
        <f>Data[[#This Row],[Unit Price]]*Data[[#This Row],[Quantity]]*Data[[#This Row],[Cogs Percentage]]</f>
        <v>35</v>
      </c>
      <c r="P5" s="5">
        <f>Data[[#This Row],[Marketing Cost Per Unit]]*Data[[#This Row],[Quantity]]</f>
        <v>12</v>
      </c>
      <c r="Q5" s="9">
        <f>Data[[#This Row],[Warehouse Cost Per Unit]]*Data[[#This Row],[Quantity]]</f>
        <v>6</v>
      </c>
      <c r="R5" s="5">
        <f>Data[[#This Row],[COGS]]+Data[[#This Row],[Marketing Cost]]+Data[[#This Row],[Warehouse Cost]]+Data[[#This Row],[Shipping Cost]]</f>
        <v>58.5</v>
      </c>
      <c r="S5" s="5">
        <f>Data[[#This Row],[Revenue]]-Data[[#This Row],[Total Cost]]</f>
        <v>41.45</v>
      </c>
      <c r="T5" s="8">
        <f>(Data[[#This Row],[Profit]]/Data[[#This Row],[Revenue]])</f>
        <v>0.41470735367683842</v>
      </c>
      <c r="U5" s="1"/>
    </row>
    <row r="6" spans="1:21">
      <c r="A6">
        <v>1003</v>
      </c>
      <c r="B6" s="2" t="s">
        <v>89</v>
      </c>
      <c r="C6" t="s">
        <v>14</v>
      </c>
      <c r="D6" t="s">
        <v>15</v>
      </c>
      <c r="E6" t="s">
        <v>16</v>
      </c>
      <c r="F6" s="4">
        <v>1</v>
      </c>
      <c r="G6" s="5">
        <v>65</v>
      </c>
      <c r="H6" s="7">
        <v>0</v>
      </c>
      <c r="I6" s="6">
        <v>7</v>
      </c>
      <c r="J6" t="s">
        <v>17</v>
      </c>
      <c r="K6" s="8">
        <v>0.42</v>
      </c>
      <c r="L6" s="5">
        <v>5</v>
      </c>
      <c r="M6" s="9">
        <v>2</v>
      </c>
      <c r="N6" s="6">
        <f xml:space="preserve"> (Data[[#This Row],[Unit Price]]*Data[[#This Row],[Quantity]])-Data[[#This Row],[Discount]]</f>
        <v>65</v>
      </c>
      <c r="O6" s="5">
        <f>Data[[#This Row],[Unit Price]]*Data[[#This Row],[Quantity]]*Data[[#This Row],[Cogs Percentage]]</f>
        <v>27.3</v>
      </c>
      <c r="P6" s="5">
        <f>Data[[#This Row],[Marketing Cost Per Unit]]*Data[[#This Row],[Quantity]]</f>
        <v>5</v>
      </c>
      <c r="Q6" s="9">
        <f>Data[[#This Row],[Warehouse Cost Per Unit]]*Data[[#This Row],[Quantity]]</f>
        <v>2</v>
      </c>
      <c r="R6" s="5">
        <f>Data[[#This Row],[COGS]]+Data[[#This Row],[Marketing Cost]]+Data[[#This Row],[Warehouse Cost]]+Data[[#This Row],[Shipping Cost]]</f>
        <v>41.3</v>
      </c>
      <c r="S6" s="5">
        <f>Data[[#This Row],[Revenue]]-Data[[#This Row],[Total Cost]]</f>
        <v>23.700000000000003</v>
      </c>
      <c r="T6" s="8">
        <f>(Data[[#This Row],[Profit]]/Data[[#This Row],[Revenue]])</f>
        <v>0.36461538461538467</v>
      </c>
      <c r="U6" s="1"/>
    </row>
    <row r="7" spans="1:21">
      <c r="A7">
        <v>1004</v>
      </c>
      <c r="B7" s="2" t="s">
        <v>89</v>
      </c>
      <c r="C7" t="s">
        <v>18</v>
      </c>
      <c r="D7" t="s">
        <v>15</v>
      </c>
      <c r="E7" t="s">
        <v>16</v>
      </c>
      <c r="F7" s="4">
        <v>2</v>
      </c>
      <c r="G7" s="5">
        <v>65</v>
      </c>
      <c r="H7" s="7">
        <v>6.5000000000000002E-2</v>
      </c>
      <c r="I7" s="6">
        <v>7</v>
      </c>
      <c r="J7" t="s">
        <v>7</v>
      </c>
      <c r="K7" s="8">
        <v>0.42</v>
      </c>
      <c r="L7" s="5">
        <v>5</v>
      </c>
      <c r="M7" s="9">
        <v>2</v>
      </c>
      <c r="N7" s="6">
        <f xml:space="preserve"> (Data[[#This Row],[Unit Price]]*Data[[#This Row],[Quantity]])-Data[[#This Row],[Discount]]</f>
        <v>129.935</v>
      </c>
      <c r="O7" s="5">
        <f>Data[[#This Row],[Unit Price]]*Data[[#This Row],[Quantity]]*Data[[#This Row],[Cogs Percentage]]</f>
        <v>54.6</v>
      </c>
      <c r="P7" s="5">
        <f>Data[[#This Row],[Marketing Cost Per Unit]]*Data[[#This Row],[Quantity]]</f>
        <v>10</v>
      </c>
      <c r="Q7" s="9">
        <f>Data[[#This Row],[Warehouse Cost Per Unit]]*Data[[#This Row],[Quantity]]</f>
        <v>4</v>
      </c>
      <c r="R7" s="5">
        <f>Data[[#This Row],[COGS]]+Data[[#This Row],[Marketing Cost]]+Data[[#This Row],[Warehouse Cost]]+Data[[#This Row],[Shipping Cost]]</f>
        <v>75.599999999999994</v>
      </c>
      <c r="S7" s="5">
        <f>Data[[#This Row],[Revenue]]-Data[[#This Row],[Total Cost]]</f>
        <v>54.335000000000008</v>
      </c>
      <c r="T7" s="8">
        <f>(Data[[#This Row],[Profit]]/Data[[#This Row],[Revenue]])</f>
        <v>0.41817062377342523</v>
      </c>
      <c r="U7" s="1"/>
    </row>
    <row r="8" spans="1:21">
      <c r="A8">
        <v>1009</v>
      </c>
      <c r="B8" s="2" t="s">
        <v>89</v>
      </c>
      <c r="C8" t="s">
        <v>19</v>
      </c>
      <c r="D8" t="s">
        <v>15</v>
      </c>
      <c r="E8" t="s">
        <v>16</v>
      </c>
      <c r="F8" s="4">
        <v>1</v>
      </c>
      <c r="G8" s="5">
        <v>65</v>
      </c>
      <c r="H8" s="7">
        <v>0</v>
      </c>
      <c r="I8" s="6">
        <v>7</v>
      </c>
      <c r="J8" t="s">
        <v>7</v>
      </c>
      <c r="K8" s="8">
        <v>0.42</v>
      </c>
      <c r="L8" s="5">
        <v>5</v>
      </c>
      <c r="M8" s="9">
        <v>2</v>
      </c>
      <c r="N8" s="6">
        <f xml:space="preserve"> (Data[[#This Row],[Unit Price]]*Data[[#This Row],[Quantity]])-Data[[#This Row],[Discount]]</f>
        <v>65</v>
      </c>
      <c r="O8" s="5">
        <f>Data[[#This Row],[Unit Price]]*Data[[#This Row],[Quantity]]*Data[[#This Row],[Cogs Percentage]]</f>
        <v>27.3</v>
      </c>
      <c r="P8" s="5">
        <f>Data[[#This Row],[Marketing Cost Per Unit]]*Data[[#This Row],[Quantity]]</f>
        <v>5</v>
      </c>
      <c r="Q8" s="9">
        <f>Data[[#This Row],[Warehouse Cost Per Unit]]*Data[[#This Row],[Quantity]]</f>
        <v>2</v>
      </c>
      <c r="R8" s="5">
        <f>Data[[#This Row],[COGS]]+Data[[#This Row],[Marketing Cost]]+Data[[#This Row],[Warehouse Cost]]+Data[[#This Row],[Shipping Cost]]</f>
        <v>41.3</v>
      </c>
      <c r="S8" s="5">
        <f>Data[[#This Row],[Revenue]]-Data[[#This Row],[Total Cost]]</f>
        <v>23.700000000000003</v>
      </c>
      <c r="T8" s="8">
        <f>(Data[[#This Row],[Profit]]/Data[[#This Row],[Revenue]])</f>
        <v>0.36461538461538467</v>
      </c>
      <c r="U8" s="1"/>
    </row>
    <row r="9" spans="1:21">
      <c r="A9">
        <v>1005</v>
      </c>
      <c r="B9" s="2" t="s">
        <v>89</v>
      </c>
      <c r="C9" t="s">
        <v>4</v>
      </c>
      <c r="D9" t="s">
        <v>20</v>
      </c>
      <c r="E9" t="s">
        <v>21</v>
      </c>
      <c r="F9" s="4">
        <v>1</v>
      </c>
      <c r="G9" s="5">
        <v>45</v>
      </c>
      <c r="H9" s="7">
        <v>0</v>
      </c>
      <c r="I9" s="6">
        <v>6</v>
      </c>
      <c r="J9" t="s">
        <v>7</v>
      </c>
      <c r="K9" s="8">
        <v>0.38</v>
      </c>
      <c r="L9" s="5">
        <v>4.5</v>
      </c>
      <c r="M9" s="9">
        <v>2.5</v>
      </c>
      <c r="N9" s="6">
        <f xml:space="preserve"> (Data[[#This Row],[Unit Price]]*Data[[#This Row],[Quantity]])-Data[[#This Row],[Discount]]</f>
        <v>45</v>
      </c>
      <c r="O9" s="5">
        <f>Data[[#This Row],[Unit Price]]*Data[[#This Row],[Quantity]]*Data[[#This Row],[Cogs Percentage]]</f>
        <v>17.100000000000001</v>
      </c>
      <c r="P9" s="5">
        <f>Data[[#This Row],[Marketing Cost Per Unit]]*Data[[#This Row],[Quantity]]</f>
        <v>4.5</v>
      </c>
      <c r="Q9" s="9">
        <f>Data[[#This Row],[Warehouse Cost Per Unit]]*Data[[#This Row],[Quantity]]</f>
        <v>2.5</v>
      </c>
      <c r="R9" s="5">
        <f>Data[[#This Row],[COGS]]+Data[[#This Row],[Marketing Cost]]+Data[[#This Row],[Warehouse Cost]]+Data[[#This Row],[Shipping Cost]]</f>
        <v>30.1</v>
      </c>
      <c r="S9" s="5">
        <f>Data[[#This Row],[Revenue]]-Data[[#This Row],[Total Cost]]</f>
        <v>14.899999999999999</v>
      </c>
      <c r="T9" s="8">
        <f>(Data[[#This Row],[Profit]]/Data[[#This Row],[Revenue]])</f>
        <v>0.33111111111111108</v>
      </c>
      <c r="U9" s="1"/>
    </row>
    <row r="10" spans="1:21">
      <c r="A10">
        <v>1012</v>
      </c>
      <c r="B10" s="2" t="s">
        <v>89</v>
      </c>
      <c r="C10" t="s">
        <v>22</v>
      </c>
      <c r="D10" t="s">
        <v>20</v>
      </c>
      <c r="E10" t="s">
        <v>21</v>
      </c>
      <c r="F10" s="4">
        <v>2</v>
      </c>
      <c r="G10" s="5">
        <v>45</v>
      </c>
      <c r="H10" s="7">
        <v>4.4999999999999998E-2</v>
      </c>
      <c r="I10" s="6">
        <v>6</v>
      </c>
      <c r="J10" t="s">
        <v>17</v>
      </c>
      <c r="K10" s="8">
        <v>0.38</v>
      </c>
      <c r="L10" s="5">
        <v>4.5</v>
      </c>
      <c r="M10" s="9">
        <v>2.5</v>
      </c>
      <c r="N10" s="6">
        <f xml:space="preserve"> (Data[[#This Row],[Unit Price]]*Data[[#This Row],[Quantity]])-Data[[#This Row],[Discount]]</f>
        <v>89.954999999999998</v>
      </c>
      <c r="O10" s="5">
        <f>Data[[#This Row],[Unit Price]]*Data[[#This Row],[Quantity]]*Data[[#This Row],[Cogs Percentage]]</f>
        <v>34.200000000000003</v>
      </c>
      <c r="P10" s="5">
        <f>Data[[#This Row],[Marketing Cost Per Unit]]*Data[[#This Row],[Quantity]]</f>
        <v>9</v>
      </c>
      <c r="Q10" s="9">
        <f>Data[[#This Row],[Warehouse Cost Per Unit]]*Data[[#This Row],[Quantity]]</f>
        <v>5</v>
      </c>
      <c r="R10" s="5">
        <f>Data[[#This Row],[COGS]]+Data[[#This Row],[Marketing Cost]]+Data[[#This Row],[Warehouse Cost]]+Data[[#This Row],[Shipping Cost]]</f>
        <v>54.2</v>
      </c>
      <c r="S10" s="5">
        <f>Data[[#This Row],[Revenue]]-Data[[#This Row],[Total Cost]]</f>
        <v>35.754999999999995</v>
      </c>
      <c r="T10" s="8">
        <f>(Data[[#This Row],[Profit]]/Data[[#This Row],[Revenue]])</f>
        <v>0.39747651603579565</v>
      </c>
      <c r="U10" s="1"/>
    </row>
    <row r="11" spans="1:21">
      <c r="A11">
        <v>1007</v>
      </c>
      <c r="B11" s="2" t="s">
        <v>89</v>
      </c>
      <c r="C11" t="s">
        <v>23</v>
      </c>
      <c r="D11" t="s">
        <v>24</v>
      </c>
      <c r="E11" t="s">
        <v>25</v>
      </c>
      <c r="F11" s="4">
        <v>1</v>
      </c>
      <c r="G11" s="5">
        <v>55</v>
      </c>
      <c r="H11" s="7">
        <v>0</v>
      </c>
      <c r="I11" s="6">
        <v>6.5</v>
      </c>
      <c r="J11" t="s">
        <v>9</v>
      </c>
      <c r="K11" s="8">
        <v>0.4</v>
      </c>
      <c r="L11" s="5">
        <v>6</v>
      </c>
      <c r="M11" s="9">
        <v>2</v>
      </c>
      <c r="N11" s="6">
        <f xml:space="preserve"> (Data[[#This Row],[Unit Price]]*Data[[#This Row],[Quantity]])-Data[[#This Row],[Discount]]</f>
        <v>55</v>
      </c>
      <c r="O11" s="5">
        <f>Data[[#This Row],[Unit Price]]*Data[[#This Row],[Quantity]]*Data[[#This Row],[Cogs Percentage]]</f>
        <v>22</v>
      </c>
      <c r="P11" s="5">
        <f>Data[[#This Row],[Marketing Cost Per Unit]]*Data[[#This Row],[Quantity]]</f>
        <v>6</v>
      </c>
      <c r="Q11" s="9">
        <f>Data[[#This Row],[Warehouse Cost Per Unit]]*Data[[#This Row],[Quantity]]</f>
        <v>2</v>
      </c>
      <c r="R11" s="5">
        <f>Data[[#This Row],[COGS]]+Data[[#This Row],[Marketing Cost]]+Data[[#This Row],[Warehouse Cost]]+Data[[#This Row],[Shipping Cost]]</f>
        <v>36.5</v>
      </c>
      <c r="S11" s="5">
        <f>Data[[#This Row],[Revenue]]-Data[[#This Row],[Total Cost]]</f>
        <v>18.5</v>
      </c>
      <c r="T11" s="8">
        <f>(Data[[#This Row],[Profit]]/Data[[#This Row],[Revenue]])</f>
        <v>0.33636363636363636</v>
      </c>
      <c r="U11" s="1"/>
    </row>
    <row r="12" spans="1:21">
      <c r="A12">
        <v>1014</v>
      </c>
      <c r="B12" s="2" t="s">
        <v>89</v>
      </c>
      <c r="C12" t="s">
        <v>26</v>
      </c>
      <c r="D12" t="s">
        <v>24</v>
      </c>
      <c r="E12" t="s">
        <v>25</v>
      </c>
      <c r="F12" s="4">
        <v>1</v>
      </c>
      <c r="G12" s="5">
        <v>55</v>
      </c>
      <c r="H12" s="7">
        <v>0</v>
      </c>
      <c r="I12" s="6">
        <v>6.5</v>
      </c>
      <c r="J12" t="s">
        <v>11</v>
      </c>
      <c r="K12" s="8">
        <v>0.4</v>
      </c>
      <c r="L12" s="5">
        <v>6</v>
      </c>
      <c r="M12" s="9">
        <v>2</v>
      </c>
      <c r="N12" s="6">
        <f xml:space="preserve"> (Data[[#This Row],[Unit Price]]*Data[[#This Row],[Quantity]])-Data[[#This Row],[Discount]]</f>
        <v>55</v>
      </c>
      <c r="O12" s="5">
        <f>Data[[#This Row],[Unit Price]]*Data[[#This Row],[Quantity]]*Data[[#This Row],[Cogs Percentage]]</f>
        <v>22</v>
      </c>
      <c r="P12" s="5">
        <f>Data[[#This Row],[Marketing Cost Per Unit]]*Data[[#This Row],[Quantity]]</f>
        <v>6</v>
      </c>
      <c r="Q12" s="9">
        <f>Data[[#This Row],[Warehouse Cost Per Unit]]*Data[[#This Row],[Quantity]]</f>
        <v>2</v>
      </c>
      <c r="R12" s="5">
        <f>Data[[#This Row],[COGS]]+Data[[#This Row],[Marketing Cost]]+Data[[#This Row],[Warehouse Cost]]+Data[[#This Row],[Shipping Cost]]</f>
        <v>36.5</v>
      </c>
      <c r="S12" s="5">
        <f>Data[[#This Row],[Revenue]]-Data[[#This Row],[Total Cost]]</f>
        <v>18.5</v>
      </c>
      <c r="T12" s="8">
        <f>(Data[[#This Row],[Profit]]/Data[[#This Row],[Revenue]])</f>
        <v>0.33636363636363636</v>
      </c>
      <c r="U12" s="1"/>
    </row>
    <row r="13" spans="1:21">
      <c r="A13">
        <v>1008</v>
      </c>
      <c r="B13" s="2" t="s">
        <v>90</v>
      </c>
      <c r="C13" t="s">
        <v>27</v>
      </c>
      <c r="D13" t="s">
        <v>28</v>
      </c>
      <c r="E13" t="s">
        <v>21</v>
      </c>
      <c r="F13" s="4">
        <v>1</v>
      </c>
      <c r="G13" s="5">
        <v>75</v>
      </c>
      <c r="H13" s="7">
        <v>7.4999999999999997E-2</v>
      </c>
      <c r="I13" s="6">
        <v>8</v>
      </c>
      <c r="J13" t="s">
        <v>17</v>
      </c>
      <c r="K13" s="8">
        <v>0.45</v>
      </c>
      <c r="L13" s="5">
        <v>7</v>
      </c>
      <c r="M13" s="9">
        <v>3</v>
      </c>
      <c r="N13" s="6">
        <f xml:space="preserve"> (Data[[#This Row],[Unit Price]]*Data[[#This Row],[Quantity]])-Data[[#This Row],[Discount]]</f>
        <v>74.924999999999997</v>
      </c>
      <c r="O13" s="5">
        <f>Data[[#This Row],[Unit Price]]*Data[[#This Row],[Quantity]]*Data[[#This Row],[Cogs Percentage]]</f>
        <v>33.75</v>
      </c>
      <c r="P13" s="5">
        <f>Data[[#This Row],[Marketing Cost Per Unit]]*Data[[#This Row],[Quantity]]</f>
        <v>7</v>
      </c>
      <c r="Q13" s="9">
        <f>Data[[#This Row],[Warehouse Cost Per Unit]]*Data[[#This Row],[Quantity]]</f>
        <v>3</v>
      </c>
      <c r="R13" s="5">
        <f>Data[[#This Row],[COGS]]+Data[[#This Row],[Marketing Cost]]+Data[[#This Row],[Warehouse Cost]]+Data[[#This Row],[Shipping Cost]]</f>
        <v>51.75</v>
      </c>
      <c r="S13" s="5">
        <f>Data[[#This Row],[Revenue]]-Data[[#This Row],[Total Cost]]</f>
        <v>23.174999999999997</v>
      </c>
      <c r="T13" s="8">
        <f>(Data[[#This Row],[Profit]]/Data[[#This Row],[Revenue]])</f>
        <v>0.30930930930930928</v>
      </c>
      <c r="U13" s="1"/>
    </row>
    <row r="14" spans="1:21">
      <c r="A14">
        <v>1010</v>
      </c>
      <c r="B14" s="2" t="s">
        <v>90</v>
      </c>
      <c r="C14" t="s">
        <v>29</v>
      </c>
      <c r="D14" t="s">
        <v>30</v>
      </c>
      <c r="E14" t="s">
        <v>6</v>
      </c>
      <c r="F14" s="4">
        <v>2</v>
      </c>
      <c r="G14" s="5">
        <v>35</v>
      </c>
      <c r="H14" s="7">
        <v>0</v>
      </c>
      <c r="I14" s="6">
        <v>5.5</v>
      </c>
      <c r="J14" t="s">
        <v>11</v>
      </c>
      <c r="K14" s="8">
        <v>0.36</v>
      </c>
      <c r="L14" s="5">
        <v>4</v>
      </c>
      <c r="M14" s="9">
        <v>1.5</v>
      </c>
      <c r="N14" s="6">
        <f xml:space="preserve"> (Data[[#This Row],[Unit Price]]*Data[[#This Row],[Quantity]])-Data[[#This Row],[Discount]]</f>
        <v>70</v>
      </c>
      <c r="O14" s="5">
        <f>Data[[#This Row],[Unit Price]]*Data[[#This Row],[Quantity]]*Data[[#This Row],[Cogs Percentage]]</f>
        <v>25.2</v>
      </c>
      <c r="P14" s="5">
        <f>Data[[#This Row],[Marketing Cost Per Unit]]*Data[[#This Row],[Quantity]]</f>
        <v>8</v>
      </c>
      <c r="Q14" s="9">
        <f>Data[[#This Row],[Warehouse Cost Per Unit]]*Data[[#This Row],[Quantity]]</f>
        <v>3</v>
      </c>
      <c r="R14" s="5">
        <f>Data[[#This Row],[COGS]]+Data[[#This Row],[Marketing Cost]]+Data[[#This Row],[Warehouse Cost]]+Data[[#This Row],[Shipping Cost]]</f>
        <v>41.7</v>
      </c>
      <c r="S14" s="5">
        <f>Data[[#This Row],[Revenue]]-Data[[#This Row],[Total Cost]]</f>
        <v>28.299999999999997</v>
      </c>
      <c r="T14" s="8">
        <f>(Data[[#This Row],[Profit]]/Data[[#This Row],[Revenue]])</f>
        <v>0.40428571428571425</v>
      </c>
      <c r="U14" s="1"/>
    </row>
    <row r="15" spans="1:21">
      <c r="A15">
        <v>1011</v>
      </c>
      <c r="B15" s="2" t="s">
        <v>90</v>
      </c>
      <c r="C15" t="s">
        <v>31</v>
      </c>
      <c r="D15" t="s">
        <v>32</v>
      </c>
      <c r="E15" t="s">
        <v>16</v>
      </c>
      <c r="F15" s="4">
        <v>1</v>
      </c>
      <c r="G15" s="5">
        <v>40</v>
      </c>
      <c r="H15" s="7">
        <v>0.04</v>
      </c>
      <c r="I15" s="6">
        <v>6</v>
      </c>
      <c r="J15" t="s">
        <v>9</v>
      </c>
      <c r="K15" s="8">
        <v>0.38</v>
      </c>
      <c r="L15" s="5">
        <v>4.5</v>
      </c>
      <c r="M15" s="9">
        <v>1.8</v>
      </c>
      <c r="N15" s="6">
        <f xml:space="preserve"> (Data[[#This Row],[Unit Price]]*Data[[#This Row],[Quantity]])-Data[[#This Row],[Discount]]</f>
        <v>39.96</v>
      </c>
      <c r="O15" s="5">
        <f>Data[[#This Row],[Unit Price]]*Data[[#This Row],[Quantity]]*Data[[#This Row],[Cogs Percentage]]</f>
        <v>15.2</v>
      </c>
      <c r="P15" s="5">
        <f>Data[[#This Row],[Marketing Cost Per Unit]]*Data[[#This Row],[Quantity]]</f>
        <v>4.5</v>
      </c>
      <c r="Q15" s="9">
        <f>Data[[#This Row],[Warehouse Cost Per Unit]]*Data[[#This Row],[Quantity]]</f>
        <v>1.8</v>
      </c>
      <c r="R15" s="5">
        <f>Data[[#This Row],[COGS]]+Data[[#This Row],[Marketing Cost]]+Data[[#This Row],[Warehouse Cost]]+Data[[#This Row],[Shipping Cost]]</f>
        <v>27.5</v>
      </c>
      <c r="S15" s="5">
        <f>Data[[#This Row],[Revenue]]-Data[[#This Row],[Total Cost]]</f>
        <v>12.46</v>
      </c>
      <c r="T15" s="8">
        <f>(Data[[#This Row],[Profit]]/Data[[#This Row],[Revenue]])</f>
        <v>0.31181181181181183</v>
      </c>
      <c r="U15" s="1"/>
    </row>
    <row r="16" spans="1:21">
      <c r="A16">
        <v>1015</v>
      </c>
      <c r="B16" s="2" t="s">
        <v>90</v>
      </c>
      <c r="C16" t="s">
        <v>33</v>
      </c>
      <c r="D16" t="s">
        <v>34</v>
      </c>
      <c r="E16" t="s">
        <v>16</v>
      </c>
      <c r="F16" s="4">
        <v>1</v>
      </c>
      <c r="G16" s="5">
        <v>60</v>
      </c>
      <c r="H16" s="7">
        <v>0.06</v>
      </c>
      <c r="I16" s="6">
        <v>7</v>
      </c>
      <c r="J16" t="s">
        <v>9</v>
      </c>
      <c r="K16" s="8">
        <v>0.43</v>
      </c>
      <c r="L16" s="5">
        <v>5.5</v>
      </c>
      <c r="M16" s="9">
        <v>2</v>
      </c>
      <c r="N16" s="6">
        <f xml:space="preserve"> (Data[[#This Row],[Unit Price]]*Data[[#This Row],[Quantity]])-Data[[#This Row],[Discount]]</f>
        <v>59.94</v>
      </c>
      <c r="O16" s="5">
        <f>Data[[#This Row],[Unit Price]]*Data[[#This Row],[Quantity]]*Data[[#This Row],[Cogs Percentage]]</f>
        <v>25.8</v>
      </c>
      <c r="P16" s="5">
        <f>Data[[#This Row],[Marketing Cost Per Unit]]*Data[[#This Row],[Quantity]]</f>
        <v>5.5</v>
      </c>
      <c r="Q16" s="9">
        <f>Data[[#This Row],[Warehouse Cost Per Unit]]*Data[[#This Row],[Quantity]]</f>
        <v>2</v>
      </c>
      <c r="R16" s="5">
        <f>Data[[#This Row],[COGS]]+Data[[#This Row],[Marketing Cost]]+Data[[#This Row],[Warehouse Cost]]+Data[[#This Row],[Shipping Cost]]</f>
        <v>40.299999999999997</v>
      </c>
      <c r="S16" s="5">
        <f>Data[[#This Row],[Revenue]]-Data[[#This Row],[Total Cost]]</f>
        <v>19.64</v>
      </c>
      <c r="T16" s="8">
        <f>(Data[[#This Row],[Profit]]/Data[[#This Row],[Revenue]])</f>
        <v>0.32766099432766099</v>
      </c>
      <c r="U16" s="1"/>
    </row>
    <row r="17" spans="1:21">
      <c r="A17">
        <v>1016</v>
      </c>
      <c r="B17" s="2" t="s">
        <v>90</v>
      </c>
      <c r="C17" t="s">
        <v>35</v>
      </c>
      <c r="D17" t="s">
        <v>28</v>
      </c>
      <c r="E17" t="s">
        <v>21</v>
      </c>
      <c r="F17" s="4">
        <v>1</v>
      </c>
      <c r="G17" s="5">
        <v>75</v>
      </c>
      <c r="H17" s="7">
        <v>0</v>
      </c>
      <c r="I17" s="6">
        <v>8</v>
      </c>
      <c r="J17" t="s">
        <v>17</v>
      </c>
      <c r="K17" s="8">
        <v>0.45</v>
      </c>
      <c r="L17" s="5">
        <v>7</v>
      </c>
      <c r="M17" s="9">
        <v>3</v>
      </c>
      <c r="N17" s="6">
        <f xml:space="preserve"> (Data[[#This Row],[Unit Price]]*Data[[#This Row],[Quantity]])-Data[[#This Row],[Discount]]</f>
        <v>75</v>
      </c>
      <c r="O17" s="5">
        <f>Data[[#This Row],[Unit Price]]*Data[[#This Row],[Quantity]]*Data[[#This Row],[Cogs Percentage]]</f>
        <v>33.75</v>
      </c>
      <c r="P17" s="5">
        <f>Data[[#This Row],[Marketing Cost Per Unit]]*Data[[#This Row],[Quantity]]</f>
        <v>7</v>
      </c>
      <c r="Q17" s="9">
        <f>Data[[#This Row],[Warehouse Cost Per Unit]]*Data[[#This Row],[Quantity]]</f>
        <v>3</v>
      </c>
      <c r="R17" s="5">
        <f>Data[[#This Row],[COGS]]+Data[[#This Row],[Marketing Cost]]+Data[[#This Row],[Warehouse Cost]]+Data[[#This Row],[Shipping Cost]]</f>
        <v>51.75</v>
      </c>
      <c r="S17" s="5">
        <f>Data[[#This Row],[Revenue]]-Data[[#This Row],[Total Cost]]</f>
        <v>23.25</v>
      </c>
      <c r="T17" s="8">
        <f>(Data[[#This Row],[Profit]]/Data[[#This Row],[Revenue]])</f>
        <v>0.31</v>
      </c>
      <c r="U17" s="1"/>
    </row>
    <row r="18" spans="1:21">
      <c r="A18">
        <v>1017</v>
      </c>
      <c r="B18" s="2" t="s">
        <v>90</v>
      </c>
      <c r="C18" t="s">
        <v>36</v>
      </c>
      <c r="D18" t="s">
        <v>5</v>
      </c>
      <c r="E18" t="s">
        <v>6</v>
      </c>
      <c r="F18" s="4">
        <v>2</v>
      </c>
      <c r="G18" s="5">
        <v>25</v>
      </c>
      <c r="H18" s="7">
        <v>2.5000000000000001E-2</v>
      </c>
      <c r="I18" s="6">
        <v>5.5</v>
      </c>
      <c r="J18" t="s">
        <v>7</v>
      </c>
      <c r="K18" s="8">
        <v>0.35</v>
      </c>
      <c r="L18" s="5">
        <v>3</v>
      </c>
      <c r="M18" s="9">
        <v>1.5</v>
      </c>
      <c r="N18" s="6">
        <f xml:space="preserve"> (Data[[#This Row],[Unit Price]]*Data[[#This Row],[Quantity]])-Data[[#This Row],[Discount]]</f>
        <v>49.975000000000001</v>
      </c>
      <c r="O18" s="5">
        <f>Data[[#This Row],[Unit Price]]*Data[[#This Row],[Quantity]]*Data[[#This Row],[Cogs Percentage]]</f>
        <v>17.5</v>
      </c>
      <c r="P18" s="5">
        <f>Data[[#This Row],[Marketing Cost Per Unit]]*Data[[#This Row],[Quantity]]</f>
        <v>6</v>
      </c>
      <c r="Q18" s="9">
        <f>Data[[#This Row],[Warehouse Cost Per Unit]]*Data[[#This Row],[Quantity]]</f>
        <v>3</v>
      </c>
      <c r="R18" s="5">
        <f>Data[[#This Row],[COGS]]+Data[[#This Row],[Marketing Cost]]+Data[[#This Row],[Warehouse Cost]]+Data[[#This Row],[Shipping Cost]]</f>
        <v>32</v>
      </c>
      <c r="S18" s="5">
        <f>Data[[#This Row],[Revenue]]-Data[[#This Row],[Total Cost]]</f>
        <v>17.975000000000001</v>
      </c>
      <c r="T18" s="8">
        <f>(Data[[#This Row],[Profit]]/Data[[#This Row],[Revenue]])</f>
        <v>0.35967983991996</v>
      </c>
      <c r="U18" s="1"/>
    </row>
    <row r="19" spans="1:21">
      <c r="A19">
        <v>1018</v>
      </c>
      <c r="B19" s="2" t="s">
        <v>90</v>
      </c>
      <c r="C19" t="s">
        <v>37</v>
      </c>
      <c r="D19" t="s">
        <v>38</v>
      </c>
      <c r="E19" t="s">
        <v>6</v>
      </c>
      <c r="F19" s="4">
        <v>3</v>
      </c>
      <c r="G19" s="5">
        <v>30</v>
      </c>
      <c r="H19" s="7">
        <v>4.4999999999999998E-2</v>
      </c>
      <c r="I19" s="6">
        <v>5.5</v>
      </c>
      <c r="J19" t="s">
        <v>11</v>
      </c>
      <c r="K19" s="8">
        <v>0.37</v>
      </c>
      <c r="L19" s="5">
        <v>3.5</v>
      </c>
      <c r="M19" s="9">
        <v>1.5</v>
      </c>
      <c r="N19" s="6">
        <f xml:space="preserve"> (Data[[#This Row],[Unit Price]]*Data[[#This Row],[Quantity]])-Data[[#This Row],[Discount]]</f>
        <v>89.954999999999998</v>
      </c>
      <c r="O19" s="5">
        <f>Data[[#This Row],[Unit Price]]*Data[[#This Row],[Quantity]]*Data[[#This Row],[Cogs Percentage]]</f>
        <v>33.299999999999997</v>
      </c>
      <c r="P19" s="5">
        <f>Data[[#This Row],[Marketing Cost Per Unit]]*Data[[#This Row],[Quantity]]</f>
        <v>10.5</v>
      </c>
      <c r="Q19" s="9">
        <f>Data[[#This Row],[Warehouse Cost Per Unit]]*Data[[#This Row],[Quantity]]</f>
        <v>4.5</v>
      </c>
      <c r="R19" s="5">
        <f>Data[[#This Row],[COGS]]+Data[[#This Row],[Marketing Cost]]+Data[[#This Row],[Warehouse Cost]]+Data[[#This Row],[Shipping Cost]]</f>
        <v>53.8</v>
      </c>
      <c r="S19" s="5">
        <f>Data[[#This Row],[Revenue]]-Data[[#This Row],[Total Cost]]</f>
        <v>36.155000000000001</v>
      </c>
      <c r="T19" s="8">
        <f>(Data[[#This Row],[Profit]]/Data[[#This Row],[Revenue]])</f>
        <v>0.40192318381412928</v>
      </c>
      <c r="U19" s="1"/>
    </row>
    <row r="20" spans="1:21">
      <c r="A20">
        <v>1019</v>
      </c>
      <c r="B20" s="2" t="s">
        <v>90</v>
      </c>
      <c r="C20" t="s">
        <v>39</v>
      </c>
      <c r="D20" t="s">
        <v>24</v>
      </c>
      <c r="E20" t="s">
        <v>25</v>
      </c>
      <c r="F20" s="4">
        <v>1</v>
      </c>
      <c r="G20" s="5">
        <v>55</v>
      </c>
      <c r="H20" s="7">
        <v>5.5E-2</v>
      </c>
      <c r="I20" s="6">
        <v>6.5</v>
      </c>
      <c r="J20" t="s">
        <v>9</v>
      </c>
      <c r="K20" s="8">
        <v>0.4</v>
      </c>
      <c r="L20" s="5">
        <v>6</v>
      </c>
      <c r="M20" s="9">
        <v>2</v>
      </c>
      <c r="N20" s="6">
        <f xml:space="preserve"> (Data[[#This Row],[Unit Price]]*Data[[#This Row],[Quantity]])-Data[[#This Row],[Discount]]</f>
        <v>54.945</v>
      </c>
      <c r="O20" s="5">
        <f>Data[[#This Row],[Unit Price]]*Data[[#This Row],[Quantity]]*Data[[#This Row],[Cogs Percentage]]</f>
        <v>22</v>
      </c>
      <c r="P20" s="5">
        <f>Data[[#This Row],[Marketing Cost Per Unit]]*Data[[#This Row],[Quantity]]</f>
        <v>6</v>
      </c>
      <c r="Q20" s="9">
        <f>Data[[#This Row],[Warehouse Cost Per Unit]]*Data[[#This Row],[Quantity]]</f>
        <v>2</v>
      </c>
      <c r="R20" s="5">
        <f>Data[[#This Row],[COGS]]+Data[[#This Row],[Marketing Cost]]+Data[[#This Row],[Warehouse Cost]]+Data[[#This Row],[Shipping Cost]]</f>
        <v>36.5</v>
      </c>
      <c r="S20" s="5">
        <f>Data[[#This Row],[Revenue]]-Data[[#This Row],[Total Cost]]</f>
        <v>18.445</v>
      </c>
      <c r="T20" s="8">
        <f>(Data[[#This Row],[Profit]]/Data[[#This Row],[Revenue]])</f>
        <v>0.33569933569933569</v>
      </c>
      <c r="U20" s="1"/>
    </row>
    <row r="21" spans="1:21">
      <c r="A21">
        <v>1020</v>
      </c>
      <c r="B21" s="2" t="s">
        <v>90</v>
      </c>
      <c r="C21" t="s">
        <v>40</v>
      </c>
      <c r="D21" t="s">
        <v>20</v>
      </c>
      <c r="E21" t="s">
        <v>21</v>
      </c>
      <c r="F21" s="4">
        <v>1</v>
      </c>
      <c r="G21" s="5">
        <v>45</v>
      </c>
      <c r="H21" s="7">
        <v>0</v>
      </c>
      <c r="I21" s="6">
        <v>6</v>
      </c>
      <c r="J21" t="s">
        <v>17</v>
      </c>
      <c r="K21" s="8">
        <v>0.38</v>
      </c>
      <c r="L21" s="5">
        <v>4.5</v>
      </c>
      <c r="M21" s="9">
        <v>2.5</v>
      </c>
      <c r="N21" s="6">
        <f xml:space="preserve"> (Data[[#This Row],[Unit Price]]*Data[[#This Row],[Quantity]])-Data[[#This Row],[Discount]]</f>
        <v>45</v>
      </c>
      <c r="O21" s="5">
        <f>Data[[#This Row],[Unit Price]]*Data[[#This Row],[Quantity]]*Data[[#This Row],[Cogs Percentage]]</f>
        <v>17.100000000000001</v>
      </c>
      <c r="P21" s="5">
        <f>Data[[#This Row],[Marketing Cost Per Unit]]*Data[[#This Row],[Quantity]]</f>
        <v>4.5</v>
      </c>
      <c r="Q21" s="9">
        <f>Data[[#This Row],[Warehouse Cost Per Unit]]*Data[[#This Row],[Quantity]]</f>
        <v>2.5</v>
      </c>
      <c r="R21" s="5">
        <f>Data[[#This Row],[COGS]]+Data[[#This Row],[Marketing Cost]]+Data[[#This Row],[Warehouse Cost]]+Data[[#This Row],[Shipping Cost]]</f>
        <v>30.1</v>
      </c>
      <c r="S21" s="5">
        <f>Data[[#This Row],[Revenue]]-Data[[#This Row],[Total Cost]]</f>
        <v>14.899999999999999</v>
      </c>
      <c r="T21" s="8">
        <f>(Data[[#This Row],[Profit]]/Data[[#This Row],[Revenue]])</f>
        <v>0.33111111111111108</v>
      </c>
      <c r="U21" s="1"/>
    </row>
    <row r="22" spans="1:21">
      <c r="A22">
        <v>1021</v>
      </c>
      <c r="B22" s="2" t="s">
        <v>90</v>
      </c>
      <c r="C22" t="s">
        <v>41</v>
      </c>
      <c r="D22" t="s">
        <v>42</v>
      </c>
      <c r="E22" t="s">
        <v>16</v>
      </c>
      <c r="F22" s="4">
        <v>2</v>
      </c>
      <c r="G22" s="5">
        <v>50</v>
      </c>
      <c r="H22" s="7">
        <v>0</v>
      </c>
      <c r="I22" s="6">
        <v>7</v>
      </c>
      <c r="J22" t="s">
        <v>7</v>
      </c>
      <c r="K22" s="8">
        <v>0.4</v>
      </c>
      <c r="L22" s="5">
        <v>5</v>
      </c>
      <c r="M22" s="9">
        <v>2</v>
      </c>
      <c r="N22" s="6">
        <f xml:space="preserve"> (Data[[#This Row],[Unit Price]]*Data[[#This Row],[Quantity]])-Data[[#This Row],[Discount]]</f>
        <v>100</v>
      </c>
      <c r="O22" s="5">
        <f>Data[[#This Row],[Unit Price]]*Data[[#This Row],[Quantity]]*Data[[#This Row],[Cogs Percentage]]</f>
        <v>40</v>
      </c>
      <c r="P22" s="5">
        <f>Data[[#This Row],[Marketing Cost Per Unit]]*Data[[#This Row],[Quantity]]</f>
        <v>10</v>
      </c>
      <c r="Q22" s="9">
        <f>Data[[#This Row],[Warehouse Cost Per Unit]]*Data[[#This Row],[Quantity]]</f>
        <v>4</v>
      </c>
      <c r="R22" s="5">
        <f>Data[[#This Row],[COGS]]+Data[[#This Row],[Marketing Cost]]+Data[[#This Row],[Warehouse Cost]]+Data[[#This Row],[Shipping Cost]]</f>
        <v>61</v>
      </c>
      <c r="S22" s="5">
        <f>Data[[#This Row],[Revenue]]-Data[[#This Row],[Total Cost]]</f>
        <v>39</v>
      </c>
      <c r="T22" s="8">
        <f>(Data[[#This Row],[Profit]]/Data[[#This Row],[Revenue]])</f>
        <v>0.39</v>
      </c>
      <c r="U22" s="1"/>
    </row>
    <row r="23" spans="1:21">
      <c r="A23">
        <v>1022</v>
      </c>
      <c r="B23" s="2" t="s">
        <v>90</v>
      </c>
      <c r="C23" t="s">
        <v>43</v>
      </c>
      <c r="D23" t="s">
        <v>30</v>
      </c>
      <c r="E23" t="s">
        <v>6</v>
      </c>
      <c r="F23" s="4">
        <v>1</v>
      </c>
      <c r="G23" s="5">
        <v>35</v>
      </c>
      <c r="H23" s="7">
        <v>3.5000000000000003E-2</v>
      </c>
      <c r="I23" s="6">
        <v>5.5</v>
      </c>
      <c r="J23" t="s">
        <v>11</v>
      </c>
      <c r="K23" s="8">
        <v>0.36</v>
      </c>
      <c r="L23" s="5">
        <v>4</v>
      </c>
      <c r="M23" s="9">
        <v>1.5</v>
      </c>
      <c r="N23" s="6">
        <f xml:space="preserve"> (Data[[#This Row],[Unit Price]]*Data[[#This Row],[Quantity]])-Data[[#This Row],[Discount]]</f>
        <v>34.965000000000003</v>
      </c>
      <c r="O23" s="5">
        <f>Data[[#This Row],[Unit Price]]*Data[[#This Row],[Quantity]]*Data[[#This Row],[Cogs Percentage]]</f>
        <v>12.6</v>
      </c>
      <c r="P23" s="5">
        <f>Data[[#This Row],[Marketing Cost Per Unit]]*Data[[#This Row],[Quantity]]</f>
        <v>4</v>
      </c>
      <c r="Q23" s="9">
        <f>Data[[#This Row],[Warehouse Cost Per Unit]]*Data[[#This Row],[Quantity]]</f>
        <v>1.5</v>
      </c>
      <c r="R23" s="5">
        <f>Data[[#This Row],[COGS]]+Data[[#This Row],[Marketing Cost]]+Data[[#This Row],[Warehouse Cost]]+Data[[#This Row],[Shipping Cost]]</f>
        <v>23.6</v>
      </c>
      <c r="S23" s="5">
        <f>Data[[#This Row],[Revenue]]-Data[[#This Row],[Total Cost]]</f>
        <v>11.365000000000002</v>
      </c>
      <c r="T23" s="8">
        <f>(Data[[#This Row],[Profit]]/Data[[#This Row],[Revenue]])</f>
        <v>0.32503932503932509</v>
      </c>
      <c r="U23" s="1"/>
    </row>
    <row r="24" spans="1:21">
      <c r="A24">
        <v>1023</v>
      </c>
      <c r="B24" s="2" t="s">
        <v>90</v>
      </c>
      <c r="C24" t="s">
        <v>44</v>
      </c>
      <c r="D24" t="s">
        <v>32</v>
      </c>
      <c r="E24" t="s">
        <v>16</v>
      </c>
      <c r="F24" s="4">
        <v>1</v>
      </c>
      <c r="G24" s="5">
        <v>40</v>
      </c>
      <c r="H24" s="7">
        <v>0</v>
      </c>
      <c r="I24" s="6">
        <v>6</v>
      </c>
      <c r="J24" t="s">
        <v>9</v>
      </c>
      <c r="K24" s="8">
        <v>0.38</v>
      </c>
      <c r="L24" s="5">
        <v>4.5</v>
      </c>
      <c r="M24" s="9">
        <v>1.8</v>
      </c>
      <c r="N24" s="6">
        <f xml:space="preserve"> (Data[[#This Row],[Unit Price]]*Data[[#This Row],[Quantity]])-Data[[#This Row],[Discount]]</f>
        <v>40</v>
      </c>
      <c r="O24" s="5">
        <f>Data[[#This Row],[Unit Price]]*Data[[#This Row],[Quantity]]*Data[[#This Row],[Cogs Percentage]]</f>
        <v>15.2</v>
      </c>
      <c r="P24" s="5">
        <f>Data[[#This Row],[Marketing Cost Per Unit]]*Data[[#This Row],[Quantity]]</f>
        <v>4.5</v>
      </c>
      <c r="Q24" s="9">
        <f>Data[[#This Row],[Warehouse Cost Per Unit]]*Data[[#This Row],[Quantity]]</f>
        <v>1.8</v>
      </c>
      <c r="R24" s="5">
        <f>Data[[#This Row],[COGS]]+Data[[#This Row],[Marketing Cost]]+Data[[#This Row],[Warehouse Cost]]+Data[[#This Row],[Shipping Cost]]</f>
        <v>27.5</v>
      </c>
      <c r="S24" s="5">
        <f>Data[[#This Row],[Revenue]]-Data[[#This Row],[Total Cost]]</f>
        <v>12.5</v>
      </c>
      <c r="T24" s="8">
        <f>(Data[[#This Row],[Profit]]/Data[[#This Row],[Revenue]])</f>
        <v>0.3125</v>
      </c>
      <c r="U24" s="1"/>
    </row>
    <row r="25" spans="1:21">
      <c r="A25">
        <v>1024</v>
      </c>
      <c r="B25" s="2" t="s">
        <v>91</v>
      </c>
      <c r="C25" t="s">
        <v>45</v>
      </c>
      <c r="D25" t="s">
        <v>13</v>
      </c>
      <c r="E25" t="s">
        <v>6</v>
      </c>
      <c r="F25" s="4">
        <v>2</v>
      </c>
      <c r="G25" s="5">
        <v>25</v>
      </c>
      <c r="H25" s="7">
        <v>0</v>
      </c>
      <c r="I25" s="6">
        <v>5.5</v>
      </c>
      <c r="J25" t="s">
        <v>17</v>
      </c>
      <c r="K25" s="8">
        <v>0.35</v>
      </c>
      <c r="L25" s="5">
        <v>3</v>
      </c>
      <c r="M25" s="9">
        <v>1.5</v>
      </c>
      <c r="N25" s="6">
        <f xml:space="preserve"> (Data[[#This Row],[Unit Price]]*Data[[#This Row],[Quantity]])-Data[[#This Row],[Discount]]</f>
        <v>50</v>
      </c>
      <c r="O25" s="5">
        <f>Data[[#This Row],[Unit Price]]*Data[[#This Row],[Quantity]]*Data[[#This Row],[Cogs Percentage]]</f>
        <v>17.5</v>
      </c>
      <c r="P25" s="5">
        <f>Data[[#This Row],[Marketing Cost Per Unit]]*Data[[#This Row],[Quantity]]</f>
        <v>6</v>
      </c>
      <c r="Q25" s="9">
        <f>Data[[#This Row],[Warehouse Cost Per Unit]]*Data[[#This Row],[Quantity]]</f>
        <v>3</v>
      </c>
      <c r="R25" s="5">
        <f>Data[[#This Row],[COGS]]+Data[[#This Row],[Marketing Cost]]+Data[[#This Row],[Warehouse Cost]]+Data[[#This Row],[Shipping Cost]]</f>
        <v>32</v>
      </c>
      <c r="S25" s="5">
        <f>Data[[#This Row],[Revenue]]-Data[[#This Row],[Total Cost]]</f>
        <v>18</v>
      </c>
      <c r="T25" s="8">
        <f>(Data[[#This Row],[Profit]]/Data[[#This Row],[Revenue]])</f>
        <v>0.36</v>
      </c>
      <c r="U25" s="1"/>
    </row>
    <row r="26" spans="1:21">
      <c r="A26">
        <v>1025</v>
      </c>
      <c r="B26" s="2" t="s">
        <v>91</v>
      </c>
      <c r="C26" t="s">
        <v>46</v>
      </c>
      <c r="D26" t="s">
        <v>34</v>
      </c>
      <c r="E26" t="s">
        <v>16</v>
      </c>
      <c r="F26" s="4">
        <v>1</v>
      </c>
      <c r="G26" s="5">
        <v>60</v>
      </c>
      <c r="H26" s="7">
        <v>0</v>
      </c>
      <c r="I26" s="6">
        <v>7</v>
      </c>
      <c r="J26" t="s">
        <v>7</v>
      </c>
      <c r="K26" s="8">
        <v>0.43</v>
      </c>
      <c r="L26" s="5">
        <v>5.5</v>
      </c>
      <c r="M26" s="9">
        <v>2</v>
      </c>
      <c r="N26" s="6">
        <f xml:space="preserve"> (Data[[#This Row],[Unit Price]]*Data[[#This Row],[Quantity]])-Data[[#This Row],[Discount]]</f>
        <v>60</v>
      </c>
      <c r="O26" s="5">
        <f>Data[[#This Row],[Unit Price]]*Data[[#This Row],[Quantity]]*Data[[#This Row],[Cogs Percentage]]</f>
        <v>25.8</v>
      </c>
      <c r="P26" s="5">
        <f>Data[[#This Row],[Marketing Cost Per Unit]]*Data[[#This Row],[Quantity]]</f>
        <v>5.5</v>
      </c>
      <c r="Q26" s="9">
        <f>Data[[#This Row],[Warehouse Cost Per Unit]]*Data[[#This Row],[Quantity]]</f>
        <v>2</v>
      </c>
      <c r="R26" s="5">
        <f>Data[[#This Row],[COGS]]+Data[[#This Row],[Marketing Cost]]+Data[[#This Row],[Warehouse Cost]]+Data[[#This Row],[Shipping Cost]]</f>
        <v>40.299999999999997</v>
      </c>
      <c r="S26" s="5">
        <f>Data[[#This Row],[Revenue]]-Data[[#This Row],[Total Cost]]</f>
        <v>19.700000000000003</v>
      </c>
      <c r="T26" s="8">
        <f>(Data[[#This Row],[Profit]]/Data[[#This Row],[Revenue]])</f>
        <v>0.32833333333333337</v>
      </c>
      <c r="U26" s="1"/>
    </row>
    <row r="27" spans="1:21">
      <c r="A27">
        <v>1026</v>
      </c>
      <c r="B27" s="2" t="s">
        <v>91</v>
      </c>
      <c r="C27" t="s">
        <v>47</v>
      </c>
      <c r="D27" t="s">
        <v>48</v>
      </c>
      <c r="E27" t="s">
        <v>21</v>
      </c>
      <c r="F27" s="4">
        <v>1</v>
      </c>
      <c r="G27" s="5">
        <v>80</v>
      </c>
      <c r="H27" s="7">
        <v>0.08</v>
      </c>
      <c r="I27" s="6">
        <v>8</v>
      </c>
      <c r="J27" t="s">
        <v>11</v>
      </c>
      <c r="K27" s="8">
        <v>0.44</v>
      </c>
      <c r="L27" s="5">
        <v>8</v>
      </c>
      <c r="M27" s="9">
        <v>3</v>
      </c>
      <c r="N27" s="6">
        <f xml:space="preserve"> (Data[[#This Row],[Unit Price]]*Data[[#This Row],[Quantity]])-Data[[#This Row],[Discount]]</f>
        <v>79.92</v>
      </c>
      <c r="O27" s="5">
        <f>Data[[#This Row],[Unit Price]]*Data[[#This Row],[Quantity]]*Data[[#This Row],[Cogs Percentage]]</f>
        <v>35.200000000000003</v>
      </c>
      <c r="P27" s="5">
        <f>Data[[#This Row],[Marketing Cost Per Unit]]*Data[[#This Row],[Quantity]]</f>
        <v>8</v>
      </c>
      <c r="Q27" s="9">
        <f>Data[[#This Row],[Warehouse Cost Per Unit]]*Data[[#This Row],[Quantity]]</f>
        <v>3</v>
      </c>
      <c r="R27" s="5">
        <f>Data[[#This Row],[COGS]]+Data[[#This Row],[Marketing Cost]]+Data[[#This Row],[Warehouse Cost]]+Data[[#This Row],[Shipping Cost]]</f>
        <v>54.2</v>
      </c>
      <c r="S27" s="5">
        <f>Data[[#This Row],[Revenue]]-Data[[#This Row],[Total Cost]]</f>
        <v>25.72</v>
      </c>
      <c r="T27" s="8">
        <f>(Data[[#This Row],[Profit]]/Data[[#This Row],[Revenue]])</f>
        <v>0.32182182182182179</v>
      </c>
      <c r="U27" s="1"/>
    </row>
    <row r="28" spans="1:21">
      <c r="A28">
        <v>1027</v>
      </c>
      <c r="B28" s="2" t="s">
        <v>91</v>
      </c>
      <c r="C28" t="s">
        <v>49</v>
      </c>
      <c r="D28" t="s">
        <v>24</v>
      </c>
      <c r="E28" t="s">
        <v>25</v>
      </c>
      <c r="F28" s="4">
        <v>2</v>
      </c>
      <c r="G28" s="5">
        <v>55</v>
      </c>
      <c r="H28" s="7">
        <v>5.5E-2</v>
      </c>
      <c r="I28" s="6">
        <v>6.5</v>
      </c>
      <c r="J28" t="s">
        <v>9</v>
      </c>
      <c r="K28" s="8">
        <v>0.4</v>
      </c>
      <c r="L28" s="5">
        <v>6</v>
      </c>
      <c r="M28" s="9">
        <v>2</v>
      </c>
      <c r="N28" s="6">
        <f xml:space="preserve"> (Data[[#This Row],[Unit Price]]*Data[[#This Row],[Quantity]])-Data[[#This Row],[Discount]]</f>
        <v>109.94499999999999</v>
      </c>
      <c r="O28" s="5">
        <f>Data[[#This Row],[Unit Price]]*Data[[#This Row],[Quantity]]*Data[[#This Row],[Cogs Percentage]]</f>
        <v>44</v>
      </c>
      <c r="P28" s="5">
        <f>Data[[#This Row],[Marketing Cost Per Unit]]*Data[[#This Row],[Quantity]]</f>
        <v>12</v>
      </c>
      <c r="Q28" s="9">
        <f>Data[[#This Row],[Warehouse Cost Per Unit]]*Data[[#This Row],[Quantity]]</f>
        <v>4</v>
      </c>
      <c r="R28" s="5">
        <f>Data[[#This Row],[COGS]]+Data[[#This Row],[Marketing Cost]]+Data[[#This Row],[Warehouse Cost]]+Data[[#This Row],[Shipping Cost]]</f>
        <v>66.5</v>
      </c>
      <c r="S28" s="5">
        <f>Data[[#This Row],[Revenue]]-Data[[#This Row],[Total Cost]]</f>
        <v>43.444999999999993</v>
      </c>
      <c r="T28" s="8">
        <f>(Data[[#This Row],[Profit]]/Data[[#This Row],[Revenue]])</f>
        <v>0.39515212151530305</v>
      </c>
      <c r="U28" s="1"/>
    </row>
    <row r="29" spans="1:21">
      <c r="A29">
        <v>1028</v>
      </c>
      <c r="B29" s="2" t="s">
        <v>91</v>
      </c>
      <c r="C29" t="s">
        <v>50</v>
      </c>
      <c r="D29" t="s">
        <v>15</v>
      </c>
      <c r="E29" t="s">
        <v>16</v>
      </c>
      <c r="F29" s="4">
        <v>1</v>
      </c>
      <c r="G29" s="5">
        <v>65</v>
      </c>
      <c r="H29" s="7">
        <v>6.5000000000000002E-2</v>
      </c>
      <c r="I29" s="6">
        <v>7</v>
      </c>
      <c r="J29" t="s">
        <v>17</v>
      </c>
      <c r="K29" s="8">
        <v>0.42</v>
      </c>
      <c r="L29" s="5">
        <v>5</v>
      </c>
      <c r="M29" s="9">
        <v>2</v>
      </c>
      <c r="N29" s="6">
        <f xml:space="preserve"> (Data[[#This Row],[Unit Price]]*Data[[#This Row],[Quantity]])-Data[[#This Row],[Discount]]</f>
        <v>64.935000000000002</v>
      </c>
      <c r="O29" s="5">
        <f>Data[[#This Row],[Unit Price]]*Data[[#This Row],[Quantity]]*Data[[#This Row],[Cogs Percentage]]</f>
        <v>27.3</v>
      </c>
      <c r="P29" s="5">
        <f>Data[[#This Row],[Marketing Cost Per Unit]]*Data[[#This Row],[Quantity]]</f>
        <v>5</v>
      </c>
      <c r="Q29" s="9">
        <f>Data[[#This Row],[Warehouse Cost Per Unit]]*Data[[#This Row],[Quantity]]</f>
        <v>2</v>
      </c>
      <c r="R29" s="5">
        <f>Data[[#This Row],[COGS]]+Data[[#This Row],[Marketing Cost]]+Data[[#This Row],[Warehouse Cost]]+Data[[#This Row],[Shipping Cost]]</f>
        <v>41.3</v>
      </c>
      <c r="S29" s="5">
        <f>Data[[#This Row],[Revenue]]-Data[[#This Row],[Total Cost]]</f>
        <v>23.635000000000005</v>
      </c>
      <c r="T29" s="8">
        <f>(Data[[#This Row],[Profit]]/Data[[#This Row],[Revenue]])</f>
        <v>0.36397936397936403</v>
      </c>
      <c r="U29" s="1"/>
    </row>
    <row r="30" spans="1:21">
      <c r="A30">
        <v>1029</v>
      </c>
      <c r="B30" s="2" t="s">
        <v>91</v>
      </c>
      <c r="C30" t="s">
        <v>51</v>
      </c>
      <c r="D30" t="s">
        <v>5</v>
      </c>
      <c r="E30" t="s">
        <v>6</v>
      </c>
      <c r="F30" s="4">
        <v>3</v>
      </c>
      <c r="G30" s="5">
        <v>25</v>
      </c>
      <c r="H30" s="7">
        <v>3.7499999999999999E-2</v>
      </c>
      <c r="I30" s="6">
        <v>5.5</v>
      </c>
      <c r="J30" t="s">
        <v>7</v>
      </c>
      <c r="K30" s="8">
        <v>0.35</v>
      </c>
      <c r="L30" s="5">
        <v>3</v>
      </c>
      <c r="M30" s="9">
        <v>1.5</v>
      </c>
      <c r="N30" s="6">
        <f xml:space="preserve"> (Data[[#This Row],[Unit Price]]*Data[[#This Row],[Quantity]])-Data[[#This Row],[Discount]]</f>
        <v>74.962500000000006</v>
      </c>
      <c r="O30" s="5">
        <f>Data[[#This Row],[Unit Price]]*Data[[#This Row],[Quantity]]*Data[[#This Row],[Cogs Percentage]]</f>
        <v>26.25</v>
      </c>
      <c r="P30" s="5">
        <f>Data[[#This Row],[Marketing Cost Per Unit]]*Data[[#This Row],[Quantity]]</f>
        <v>9</v>
      </c>
      <c r="Q30" s="9">
        <f>Data[[#This Row],[Warehouse Cost Per Unit]]*Data[[#This Row],[Quantity]]</f>
        <v>4.5</v>
      </c>
      <c r="R30" s="5">
        <f>Data[[#This Row],[COGS]]+Data[[#This Row],[Marketing Cost]]+Data[[#This Row],[Warehouse Cost]]+Data[[#This Row],[Shipping Cost]]</f>
        <v>45.25</v>
      </c>
      <c r="S30" s="5">
        <f>Data[[#This Row],[Revenue]]-Data[[#This Row],[Total Cost]]</f>
        <v>29.712500000000006</v>
      </c>
      <c r="T30" s="8">
        <f>(Data[[#This Row],[Profit]]/Data[[#This Row],[Revenue]])</f>
        <v>0.39636484909121233</v>
      </c>
      <c r="U30" s="1"/>
    </row>
    <row r="31" spans="1:21">
      <c r="A31">
        <v>1030</v>
      </c>
      <c r="B31" s="2" t="s">
        <v>91</v>
      </c>
      <c r="C31" t="s">
        <v>52</v>
      </c>
      <c r="D31" t="s">
        <v>20</v>
      </c>
      <c r="E31" t="s">
        <v>21</v>
      </c>
      <c r="F31" s="4">
        <v>1</v>
      </c>
      <c r="G31" s="5">
        <v>45</v>
      </c>
      <c r="H31" s="7">
        <v>4.4999999999999998E-2</v>
      </c>
      <c r="I31" s="6">
        <v>6</v>
      </c>
      <c r="J31" t="s">
        <v>11</v>
      </c>
      <c r="K31" s="8">
        <v>0.38</v>
      </c>
      <c r="L31" s="5">
        <v>4.5</v>
      </c>
      <c r="M31" s="9">
        <v>2.5</v>
      </c>
      <c r="N31" s="6">
        <f xml:space="preserve"> (Data[[#This Row],[Unit Price]]*Data[[#This Row],[Quantity]])-Data[[#This Row],[Discount]]</f>
        <v>44.954999999999998</v>
      </c>
      <c r="O31" s="5">
        <f>Data[[#This Row],[Unit Price]]*Data[[#This Row],[Quantity]]*Data[[#This Row],[Cogs Percentage]]</f>
        <v>17.100000000000001</v>
      </c>
      <c r="P31" s="5">
        <f>Data[[#This Row],[Marketing Cost Per Unit]]*Data[[#This Row],[Quantity]]</f>
        <v>4.5</v>
      </c>
      <c r="Q31" s="9">
        <f>Data[[#This Row],[Warehouse Cost Per Unit]]*Data[[#This Row],[Quantity]]</f>
        <v>2.5</v>
      </c>
      <c r="R31" s="5">
        <f>Data[[#This Row],[COGS]]+Data[[#This Row],[Marketing Cost]]+Data[[#This Row],[Warehouse Cost]]+Data[[#This Row],[Shipping Cost]]</f>
        <v>30.1</v>
      </c>
      <c r="S31" s="5">
        <f>Data[[#This Row],[Revenue]]-Data[[#This Row],[Total Cost]]</f>
        <v>14.854999999999997</v>
      </c>
      <c r="T31" s="8">
        <f>(Data[[#This Row],[Profit]]/Data[[#This Row],[Revenue]])</f>
        <v>0.33044155266377484</v>
      </c>
      <c r="U31" s="1"/>
    </row>
    <row r="32" spans="1:21">
      <c r="A32">
        <v>1031</v>
      </c>
      <c r="B32" s="2" t="s">
        <v>91</v>
      </c>
      <c r="C32" t="s">
        <v>53</v>
      </c>
      <c r="D32" t="s">
        <v>30</v>
      </c>
      <c r="E32" t="s">
        <v>6</v>
      </c>
      <c r="F32" s="4">
        <v>1</v>
      </c>
      <c r="G32" s="5">
        <v>35</v>
      </c>
      <c r="H32" s="7">
        <v>0</v>
      </c>
      <c r="I32" s="6">
        <v>5.5</v>
      </c>
      <c r="J32" t="s">
        <v>9</v>
      </c>
      <c r="K32" s="8">
        <v>0.36</v>
      </c>
      <c r="L32" s="5">
        <v>4</v>
      </c>
      <c r="M32" s="9">
        <v>1.5</v>
      </c>
      <c r="N32" s="6">
        <f xml:space="preserve"> (Data[[#This Row],[Unit Price]]*Data[[#This Row],[Quantity]])-Data[[#This Row],[Discount]]</f>
        <v>35</v>
      </c>
      <c r="O32" s="5">
        <f>Data[[#This Row],[Unit Price]]*Data[[#This Row],[Quantity]]*Data[[#This Row],[Cogs Percentage]]</f>
        <v>12.6</v>
      </c>
      <c r="P32" s="5">
        <f>Data[[#This Row],[Marketing Cost Per Unit]]*Data[[#This Row],[Quantity]]</f>
        <v>4</v>
      </c>
      <c r="Q32" s="9">
        <f>Data[[#This Row],[Warehouse Cost Per Unit]]*Data[[#This Row],[Quantity]]</f>
        <v>1.5</v>
      </c>
      <c r="R32" s="5">
        <f>Data[[#This Row],[COGS]]+Data[[#This Row],[Marketing Cost]]+Data[[#This Row],[Warehouse Cost]]+Data[[#This Row],[Shipping Cost]]</f>
        <v>23.6</v>
      </c>
      <c r="S32" s="5">
        <f>Data[[#This Row],[Revenue]]-Data[[#This Row],[Total Cost]]</f>
        <v>11.399999999999999</v>
      </c>
      <c r="T32" s="8">
        <f>(Data[[#This Row],[Profit]]/Data[[#This Row],[Revenue]])</f>
        <v>0.32571428571428568</v>
      </c>
      <c r="U32" s="1"/>
    </row>
    <row r="33" spans="1:21">
      <c r="A33">
        <v>1032</v>
      </c>
      <c r="B33" s="2" t="s">
        <v>91</v>
      </c>
      <c r="C33" t="s">
        <v>54</v>
      </c>
      <c r="D33" t="s">
        <v>32</v>
      </c>
      <c r="E33" t="s">
        <v>16</v>
      </c>
      <c r="F33" s="4">
        <v>2</v>
      </c>
      <c r="G33" s="5">
        <v>40</v>
      </c>
      <c r="H33" s="7">
        <v>0.04</v>
      </c>
      <c r="I33" s="6">
        <v>6</v>
      </c>
      <c r="J33" t="s">
        <v>17</v>
      </c>
      <c r="K33" s="8">
        <v>0.38</v>
      </c>
      <c r="L33" s="5">
        <v>4.5</v>
      </c>
      <c r="M33" s="9">
        <v>1.8</v>
      </c>
      <c r="N33" s="6">
        <f xml:space="preserve"> (Data[[#This Row],[Unit Price]]*Data[[#This Row],[Quantity]])-Data[[#This Row],[Discount]]</f>
        <v>79.959999999999994</v>
      </c>
      <c r="O33" s="5">
        <f>Data[[#This Row],[Unit Price]]*Data[[#This Row],[Quantity]]*Data[[#This Row],[Cogs Percentage]]</f>
        <v>30.4</v>
      </c>
      <c r="P33" s="5">
        <f>Data[[#This Row],[Marketing Cost Per Unit]]*Data[[#This Row],[Quantity]]</f>
        <v>9</v>
      </c>
      <c r="Q33" s="9">
        <f>Data[[#This Row],[Warehouse Cost Per Unit]]*Data[[#This Row],[Quantity]]</f>
        <v>3.6</v>
      </c>
      <c r="R33" s="5">
        <f>Data[[#This Row],[COGS]]+Data[[#This Row],[Marketing Cost]]+Data[[#This Row],[Warehouse Cost]]+Data[[#This Row],[Shipping Cost]]</f>
        <v>49</v>
      </c>
      <c r="S33" s="5">
        <f>Data[[#This Row],[Revenue]]-Data[[#This Row],[Total Cost]]</f>
        <v>30.959999999999994</v>
      </c>
      <c r="T33" s="8">
        <f>(Data[[#This Row],[Profit]]/Data[[#This Row],[Revenue]])</f>
        <v>0.38719359679839915</v>
      </c>
      <c r="U33" s="1"/>
    </row>
    <row r="34" spans="1:21">
      <c r="A34">
        <v>1033</v>
      </c>
      <c r="B34" s="2" t="s">
        <v>91</v>
      </c>
      <c r="C34" t="s">
        <v>55</v>
      </c>
      <c r="D34" t="s">
        <v>13</v>
      </c>
      <c r="E34" t="s">
        <v>6</v>
      </c>
      <c r="F34" s="4">
        <v>1</v>
      </c>
      <c r="G34" s="5">
        <v>25</v>
      </c>
      <c r="H34" s="7">
        <v>0</v>
      </c>
      <c r="I34" s="6">
        <v>5.5</v>
      </c>
      <c r="J34" t="s">
        <v>7</v>
      </c>
      <c r="K34" s="8">
        <v>0.35</v>
      </c>
      <c r="L34" s="5">
        <v>3</v>
      </c>
      <c r="M34" s="9">
        <v>1.5</v>
      </c>
      <c r="N34" s="6">
        <f xml:space="preserve"> (Data[[#This Row],[Unit Price]]*Data[[#This Row],[Quantity]])-Data[[#This Row],[Discount]]</f>
        <v>25</v>
      </c>
      <c r="O34" s="5">
        <f>Data[[#This Row],[Unit Price]]*Data[[#This Row],[Quantity]]*Data[[#This Row],[Cogs Percentage]]</f>
        <v>8.75</v>
      </c>
      <c r="P34" s="5">
        <f>Data[[#This Row],[Marketing Cost Per Unit]]*Data[[#This Row],[Quantity]]</f>
        <v>3</v>
      </c>
      <c r="Q34" s="9">
        <f>Data[[#This Row],[Warehouse Cost Per Unit]]*Data[[#This Row],[Quantity]]</f>
        <v>1.5</v>
      </c>
      <c r="R34" s="5">
        <f>Data[[#This Row],[COGS]]+Data[[#This Row],[Marketing Cost]]+Data[[#This Row],[Warehouse Cost]]+Data[[#This Row],[Shipping Cost]]</f>
        <v>18.75</v>
      </c>
      <c r="S34" s="5">
        <f>Data[[#This Row],[Revenue]]-Data[[#This Row],[Total Cost]]</f>
        <v>6.25</v>
      </c>
      <c r="T34" s="8">
        <f>(Data[[#This Row],[Profit]]/Data[[#This Row],[Revenue]])</f>
        <v>0.25</v>
      </c>
      <c r="U34" s="1"/>
    </row>
    <row r="35" spans="1:21">
      <c r="A35">
        <v>1034</v>
      </c>
      <c r="B35" s="2" t="s">
        <v>91</v>
      </c>
      <c r="C35" t="s">
        <v>56</v>
      </c>
      <c r="D35" t="s">
        <v>34</v>
      </c>
      <c r="E35" t="s">
        <v>16</v>
      </c>
      <c r="F35" s="4">
        <v>1</v>
      </c>
      <c r="G35" s="5">
        <v>60</v>
      </c>
      <c r="H35" s="7">
        <v>0</v>
      </c>
      <c r="I35" s="6">
        <v>7</v>
      </c>
      <c r="J35" t="s">
        <v>11</v>
      </c>
      <c r="K35" s="8">
        <v>0.43</v>
      </c>
      <c r="L35" s="5">
        <v>5.5</v>
      </c>
      <c r="M35" s="9">
        <v>2</v>
      </c>
      <c r="N35" s="6">
        <f xml:space="preserve"> (Data[[#This Row],[Unit Price]]*Data[[#This Row],[Quantity]])-Data[[#This Row],[Discount]]</f>
        <v>60</v>
      </c>
      <c r="O35" s="5">
        <f>Data[[#This Row],[Unit Price]]*Data[[#This Row],[Quantity]]*Data[[#This Row],[Cogs Percentage]]</f>
        <v>25.8</v>
      </c>
      <c r="P35" s="5">
        <f>Data[[#This Row],[Marketing Cost Per Unit]]*Data[[#This Row],[Quantity]]</f>
        <v>5.5</v>
      </c>
      <c r="Q35" s="9">
        <f>Data[[#This Row],[Warehouse Cost Per Unit]]*Data[[#This Row],[Quantity]]</f>
        <v>2</v>
      </c>
      <c r="R35" s="5">
        <f>Data[[#This Row],[COGS]]+Data[[#This Row],[Marketing Cost]]+Data[[#This Row],[Warehouse Cost]]+Data[[#This Row],[Shipping Cost]]</f>
        <v>40.299999999999997</v>
      </c>
      <c r="S35" s="5">
        <f>Data[[#This Row],[Revenue]]-Data[[#This Row],[Total Cost]]</f>
        <v>19.700000000000003</v>
      </c>
      <c r="T35" s="8">
        <f>(Data[[#This Row],[Profit]]/Data[[#This Row],[Revenue]])</f>
        <v>0.32833333333333337</v>
      </c>
      <c r="U35" s="1"/>
    </row>
    <row r="36" spans="1:21">
      <c r="A36">
        <v>1035</v>
      </c>
      <c r="B36" s="2" t="s">
        <v>91</v>
      </c>
      <c r="C36" t="s">
        <v>57</v>
      </c>
      <c r="D36" t="s">
        <v>28</v>
      </c>
      <c r="E36" t="s">
        <v>21</v>
      </c>
      <c r="F36" s="4">
        <v>1</v>
      </c>
      <c r="G36" s="5">
        <v>75</v>
      </c>
      <c r="H36" s="7">
        <v>7.4999999999999997E-2</v>
      </c>
      <c r="I36" s="6">
        <v>8</v>
      </c>
      <c r="J36" t="s">
        <v>9</v>
      </c>
      <c r="K36" s="8">
        <v>0.45</v>
      </c>
      <c r="L36" s="5">
        <v>7</v>
      </c>
      <c r="M36" s="9">
        <v>3</v>
      </c>
      <c r="N36" s="6">
        <f xml:space="preserve"> (Data[[#This Row],[Unit Price]]*Data[[#This Row],[Quantity]])-Data[[#This Row],[Discount]]</f>
        <v>74.924999999999997</v>
      </c>
      <c r="O36" s="5">
        <f>Data[[#This Row],[Unit Price]]*Data[[#This Row],[Quantity]]*Data[[#This Row],[Cogs Percentage]]</f>
        <v>33.75</v>
      </c>
      <c r="P36" s="5">
        <f>Data[[#This Row],[Marketing Cost Per Unit]]*Data[[#This Row],[Quantity]]</f>
        <v>7</v>
      </c>
      <c r="Q36" s="9">
        <f>Data[[#This Row],[Warehouse Cost Per Unit]]*Data[[#This Row],[Quantity]]</f>
        <v>3</v>
      </c>
      <c r="R36" s="5">
        <f>Data[[#This Row],[COGS]]+Data[[#This Row],[Marketing Cost]]+Data[[#This Row],[Warehouse Cost]]+Data[[#This Row],[Shipping Cost]]</f>
        <v>51.75</v>
      </c>
      <c r="S36" s="5">
        <f>Data[[#This Row],[Revenue]]-Data[[#This Row],[Total Cost]]</f>
        <v>23.174999999999997</v>
      </c>
      <c r="T36" s="8">
        <f>(Data[[#This Row],[Profit]]/Data[[#This Row],[Revenue]])</f>
        <v>0.30930930930930928</v>
      </c>
      <c r="U36" s="1"/>
    </row>
    <row r="37" spans="1:21">
      <c r="A37">
        <v>1036</v>
      </c>
      <c r="B37" s="2" t="s">
        <v>91</v>
      </c>
      <c r="C37" t="s">
        <v>58</v>
      </c>
      <c r="D37" t="s">
        <v>38</v>
      </c>
      <c r="E37" t="s">
        <v>6</v>
      </c>
      <c r="F37" s="4">
        <v>2</v>
      </c>
      <c r="G37" s="5">
        <v>30</v>
      </c>
      <c r="H37" s="7">
        <v>0</v>
      </c>
      <c r="I37" s="6">
        <v>5.5</v>
      </c>
      <c r="J37" t="s">
        <v>17</v>
      </c>
      <c r="K37" s="8">
        <v>0.37</v>
      </c>
      <c r="L37" s="5">
        <v>3.5</v>
      </c>
      <c r="M37" s="9">
        <v>1.5</v>
      </c>
      <c r="N37" s="6">
        <f xml:space="preserve"> (Data[[#This Row],[Unit Price]]*Data[[#This Row],[Quantity]])-Data[[#This Row],[Discount]]</f>
        <v>60</v>
      </c>
      <c r="O37" s="5">
        <f>Data[[#This Row],[Unit Price]]*Data[[#This Row],[Quantity]]*Data[[#This Row],[Cogs Percentage]]</f>
        <v>22.2</v>
      </c>
      <c r="P37" s="5">
        <f>Data[[#This Row],[Marketing Cost Per Unit]]*Data[[#This Row],[Quantity]]</f>
        <v>7</v>
      </c>
      <c r="Q37" s="9">
        <f>Data[[#This Row],[Warehouse Cost Per Unit]]*Data[[#This Row],[Quantity]]</f>
        <v>3</v>
      </c>
      <c r="R37" s="5">
        <f>Data[[#This Row],[COGS]]+Data[[#This Row],[Marketing Cost]]+Data[[#This Row],[Warehouse Cost]]+Data[[#This Row],[Shipping Cost]]</f>
        <v>37.700000000000003</v>
      </c>
      <c r="S37" s="5">
        <f>Data[[#This Row],[Revenue]]-Data[[#This Row],[Total Cost]]</f>
        <v>22.299999999999997</v>
      </c>
      <c r="T37" s="8">
        <f>(Data[[#This Row],[Profit]]/Data[[#This Row],[Revenue]])</f>
        <v>0.37166666666666665</v>
      </c>
      <c r="U37" s="1"/>
    </row>
    <row r="38" spans="1:21">
      <c r="A38">
        <v>1037</v>
      </c>
      <c r="B38" s="2" t="s">
        <v>89</v>
      </c>
      <c r="C38" t="s">
        <v>59</v>
      </c>
      <c r="D38" t="s">
        <v>60</v>
      </c>
      <c r="E38" t="s">
        <v>25</v>
      </c>
      <c r="F38" s="4">
        <v>1</v>
      </c>
      <c r="G38" s="5">
        <v>60</v>
      </c>
      <c r="H38" s="7">
        <v>0</v>
      </c>
      <c r="I38" s="6">
        <v>6.5</v>
      </c>
      <c r="J38" t="s">
        <v>7</v>
      </c>
      <c r="K38" s="8">
        <v>0.41</v>
      </c>
      <c r="L38" s="5">
        <v>6.5</v>
      </c>
      <c r="M38" s="9">
        <v>2</v>
      </c>
      <c r="N38" s="6">
        <f xml:space="preserve"> (Data[[#This Row],[Unit Price]]*Data[[#This Row],[Quantity]])-Data[[#This Row],[Discount]]</f>
        <v>60</v>
      </c>
      <c r="O38" s="5">
        <f>Data[[#This Row],[Unit Price]]*Data[[#This Row],[Quantity]]*Data[[#This Row],[Cogs Percentage]]</f>
        <v>24.599999999999998</v>
      </c>
      <c r="P38" s="5">
        <f>Data[[#This Row],[Marketing Cost Per Unit]]*Data[[#This Row],[Quantity]]</f>
        <v>6.5</v>
      </c>
      <c r="Q38" s="9">
        <f>Data[[#This Row],[Warehouse Cost Per Unit]]*Data[[#This Row],[Quantity]]</f>
        <v>2</v>
      </c>
      <c r="R38" s="5">
        <f>Data[[#This Row],[COGS]]+Data[[#This Row],[Marketing Cost]]+Data[[#This Row],[Warehouse Cost]]+Data[[#This Row],[Shipping Cost]]</f>
        <v>39.599999999999994</v>
      </c>
      <c r="S38" s="5">
        <f>Data[[#This Row],[Revenue]]-Data[[#This Row],[Total Cost]]</f>
        <v>20.400000000000006</v>
      </c>
      <c r="T38" s="8">
        <f>(Data[[#This Row],[Profit]]/Data[[#This Row],[Revenue]])</f>
        <v>0.34000000000000008</v>
      </c>
      <c r="U38" s="1"/>
    </row>
    <row r="39" spans="1:21">
      <c r="A39">
        <v>1038</v>
      </c>
      <c r="B39" s="2" t="s">
        <v>90</v>
      </c>
      <c r="C39" t="s">
        <v>61</v>
      </c>
      <c r="D39" t="s">
        <v>42</v>
      </c>
      <c r="E39" t="s">
        <v>16</v>
      </c>
      <c r="F39" s="4">
        <v>1</v>
      </c>
      <c r="G39" s="5">
        <v>50</v>
      </c>
      <c r="H39" s="7">
        <v>0.05</v>
      </c>
      <c r="I39" s="6">
        <v>7</v>
      </c>
      <c r="J39" t="s">
        <v>11</v>
      </c>
      <c r="K39" s="8">
        <v>0.4</v>
      </c>
      <c r="L39" s="5">
        <v>5</v>
      </c>
      <c r="M39" s="9">
        <v>2</v>
      </c>
      <c r="N39" s="6">
        <f xml:space="preserve"> (Data[[#This Row],[Unit Price]]*Data[[#This Row],[Quantity]])-Data[[#This Row],[Discount]]</f>
        <v>49.95</v>
      </c>
      <c r="O39" s="5">
        <f>Data[[#This Row],[Unit Price]]*Data[[#This Row],[Quantity]]*Data[[#This Row],[Cogs Percentage]]</f>
        <v>20</v>
      </c>
      <c r="P39" s="5">
        <f>Data[[#This Row],[Marketing Cost Per Unit]]*Data[[#This Row],[Quantity]]</f>
        <v>5</v>
      </c>
      <c r="Q39" s="9">
        <f>Data[[#This Row],[Warehouse Cost Per Unit]]*Data[[#This Row],[Quantity]]</f>
        <v>2</v>
      </c>
      <c r="R39" s="5">
        <f>Data[[#This Row],[COGS]]+Data[[#This Row],[Marketing Cost]]+Data[[#This Row],[Warehouse Cost]]+Data[[#This Row],[Shipping Cost]]</f>
        <v>34</v>
      </c>
      <c r="S39" s="5">
        <f>Data[[#This Row],[Revenue]]-Data[[#This Row],[Total Cost]]</f>
        <v>15.950000000000003</v>
      </c>
      <c r="T39" s="8">
        <f>(Data[[#This Row],[Profit]]/Data[[#This Row],[Revenue]])</f>
        <v>0.31931931931931934</v>
      </c>
      <c r="U39" s="1"/>
    </row>
    <row r="40" spans="1:21">
      <c r="A40">
        <v>1039</v>
      </c>
      <c r="B40" s="2" t="s">
        <v>91</v>
      </c>
      <c r="C40" t="s">
        <v>62</v>
      </c>
      <c r="D40" t="s">
        <v>48</v>
      </c>
      <c r="E40" t="s">
        <v>21</v>
      </c>
      <c r="F40" s="4">
        <v>1</v>
      </c>
      <c r="G40" s="5">
        <v>80</v>
      </c>
      <c r="H40" s="7">
        <v>0</v>
      </c>
      <c r="I40" s="6">
        <v>8</v>
      </c>
      <c r="J40" t="s">
        <v>9</v>
      </c>
      <c r="K40" s="8">
        <v>0.44</v>
      </c>
      <c r="L40" s="5">
        <v>8</v>
      </c>
      <c r="M40" s="9">
        <v>3</v>
      </c>
      <c r="N40" s="6">
        <f xml:space="preserve"> (Data[[#This Row],[Unit Price]]*Data[[#This Row],[Quantity]])-Data[[#This Row],[Discount]]</f>
        <v>80</v>
      </c>
      <c r="O40" s="5">
        <f>Data[[#This Row],[Unit Price]]*Data[[#This Row],[Quantity]]*Data[[#This Row],[Cogs Percentage]]</f>
        <v>35.200000000000003</v>
      </c>
      <c r="P40" s="5">
        <f>Data[[#This Row],[Marketing Cost Per Unit]]*Data[[#This Row],[Quantity]]</f>
        <v>8</v>
      </c>
      <c r="Q40" s="9">
        <f>Data[[#This Row],[Warehouse Cost Per Unit]]*Data[[#This Row],[Quantity]]</f>
        <v>3</v>
      </c>
      <c r="R40" s="5">
        <f>Data[[#This Row],[COGS]]+Data[[#This Row],[Marketing Cost]]+Data[[#This Row],[Warehouse Cost]]+Data[[#This Row],[Shipping Cost]]</f>
        <v>54.2</v>
      </c>
      <c r="S40" s="5">
        <f>Data[[#This Row],[Revenue]]-Data[[#This Row],[Total Cost]]</f>
        <v>25.799999999999997</v>
      </c>
      <c r="T40" s="8">
        <f>(Data[[#This Row],[Profit]]/Data[[#This Row],[Revenue]])</f>
        <v>0.32249999999999995</v>
      </c>
      <c r="U40" s="1"/>
    </row>
    <row r="41" spans="1:21">
      <c r="A41">
        <v>1040</v>
      </c>
      <c r="B41" s="2" t="s">
        <v>89</v>
      </c>
      <c r="C41" t="s">
        <v>63</v>
      </c>
      <c r="D41" t="s">
        <v>13</v>
      </c>
      <c r="E41" t="s">
        <v>6</v>
      </c>
      <c r="F41" s="4">
        <v>4</v>
      </c>
      <c r="G41" s="5">
        <v>25</v>
      </c>
      <c r="H41" s="7">
        <v>0.05</v>
      </c>
      <c r="I41" s="6">
        <v>5.5</v>
      </c>
      <c r="J41" t="s">
        <v>17</v>
      </c>
      <c r="K41" s="8">
        <v>0.35</v>
      </c>
      <c r="L41" s="5">
        <v>3</v>
      </c>
      <c r="M41" s="9">
        <v>1.5</v>
      </c>
      <c r="N41" s="6">
        <f xml:space="preserve"> (Data[[#This Row],[Unit Price]]*Data[[#This Row],[Quantity]])-Data[[#This Row],[Discount]]</f>
        <v>99.95</v>
      </c>
      <c r="O41" s="5">
        <f>Data[[#This Row],[Unit Price]]*Data[[#This Row],[Quantity]]*Data[[#This Row],[Cogs Percentage]]</f>
        <v>35</v>
      </c>
      <c r="P41" s="5">
        <f>Data[[#This Row],[Marketing Cost Per Unit]]*Data[[#This Row],[Quantity]]</f>
        <v>12</v>
      </c>
      <c r="Q41" s="9">
        <f>Data[[#This Row],[Warehouse Cost Per Unit]]*Data[[#This Row],[Quantity]]</f>
        <v>6</v>
      </c>
      <c r="R41" s="5">
        <f>Data[[#This Row],[COGS]]+Data[[#This Row],[Marketing Cost]]+Data[[#This Row],[Warehouse Cost]]+Data[[#This Row],[Shipping Cost]]</f>
        <v>58.5</v>
      </c>
      <c r="S41" s="5">
        <f>Data[[#This Row],[Revenue]]-Data[[#This Row],[Total Cost]]</f>
        <v>41.45</v>
      </c>
      <c r="T41" s="8">
        <f>(Data[[#This Row],[Profit]]/Data[[#This Row],[Revenue]])</f>
        <v>0.41470735367683842</v>
      </c>
      <c r="U41" s="1"/>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08A3B-5AB2-4DA5-8793-8AFD89419D68}">
  <dimension ref="A1:J18"/>
  <sheetViews>
    <sheetView tabSelected="1" workbookViewId="0">
      <selection sqref="A1:J18"/>
    </sheetView>
  </sheetViews>
  <sheetFormatPr defaultRowHeight="15"/>
  <sheetData>
    <row r="1" spans="1:10">
      <c r="A1" s="59" t="s">
        <v>92</v>
      </c>
      <c r="B1" s="59"/>
      <c r="C1" s="59"/>
      <c r="D1" s="59"/>
      <c r="E1" s="59"/>
      <c r="F1" s="59"/>
      <c r="G1" s="59"/>
      <c r="H1" s="59"/>
      <c r="I1" s="59"/>
      <c r="J1" s="59"/>
    </row>
    <row r="2" spans="1:10">
      <c r="A2" s="57"/>
      <c r="B2" s="57"/>
      <c r="C2" s="57"/>
      <c r="D2" s="57"/>
      <c r="E2" s="57"/>
      <c r="F2" s="57"/>
      <c r="G2" s="57"/>
      <c r="H2" s="57"/>
      <c r="I2" s="57"/>
      <c r="J2" s="57"/>
    </row>
    <row r="3" spans="1:10" ht="15" customHeight="1">
      <c r="A3" s="60" t="s">
        <v>93</v>
      </c>
      <c r="B3" s="60"/>
      <c r="C3" s="60"/>
      <c r="D3" s="60"/>
      <c r="E3" s="60"/>
      <c r="F3" s="60"/>
      <c r="G3" s="60"/>
      <c r="H3" s="60"/>
      <c r="I3" s="60"/>
      <c r="J3" s="60"/>
    </row>
    <row r="4" spans="1:10">
      <c r="A4" s="60"/>
      <c r="B4" s="60"/>
      <c r="C4" s="60"/>
      <c r="D4" s="60"/>
      <c r="E4" s="60"/>
      <c r="F4" s="60"/>
      <c r="G4" s="60"/>
      <c r="H4" s="60"/>
      <c r="I4" s="60"/>
      <c r="J4" s="60"/>
    </row>
    <row r="5" spans="1:10">
      <c r="A5" s="60"/>
      <c r="B5" s="60"/>
      <c r="C5" s="60"/>
      <c r="D5" s="60"/>
      <c r="E5" s="60"/>
      <c r="F5" s="60"/>
      <c r="G5" s="60"/>
      <c r="H5" s="60"/>
      <c r="I5" s="60"/>
      <c r="J5" s="60"/>
    </row>
    <row r="6" spans="1:10">
      <c r="A6" s="58"/>
      <c r="B6" s="58"/>
      <c r="C6" s="58"/>
      <c r="D6" s="58"/>
      <c r="E6" s="58"/>
      <c r="F6" s="58"/>
      <c r="G6" s="58"/>
      <c r="H6" s="58"/>
      <c r="I6" s="58"/>
      <c r="J6" s="58"/>
    </row>
    <row r="7" spans="1:10" ht="15" customHeight="1">
      <c r="A7" s="62" t="s">
        <v>94</v>
      </c>
      <c r="B7" s="62"/>
      <c r="C7" s="62"/>
      <c r="D7" s="62"/>
      <c r="E7" s="62"/>
      <c r="F7" s="62"/>
      <c r="G7" s="62"/>
      <c r="H7" s="62"/>
      <c r="I7" s="62"/>
      <c r="J7" s="62"/>
    </row>
    <row r="8" spans="1:10">
      <c r="A8" s="62"/>
      <c r="B8" s="62"/>
      <c r="C8" s="62"/>
      <c r="D8" s="62"/>
      <c r="E8" s="62"/>
      <c r="F8" s="62"/>
      <c r="G8" s="62"/>
      <c r="H8" s="62"/>
      <c r="I8" s="62"/>
      <c r="J8" s="62"/>
    </row>
    <row r="9" spans="1:10">
      <c r="A9" s="62"/>
      <c r="B9" s="62"/>
      <c r="C9" s="62"/>
      <c r="D9" s="62"/>
      <c r="E9" s="62"/>
      <c r="F9" s="62"/>
      <c r="G9" s="62"/>
      <c r="H9" s="62"/>
      <c r="I9" s="62"/>
      <c r="J9" s="62"/>
    </row>
    <row r="10" spans="1:10">
      <c r="A10" s="57"/>
      <c r="B10" s="57"/>
      <c r="C10" s="57"/>
      <c r="D10" s="57"/>
      <c r="E10" s="57"/>
      <c r="F10" s="57"/>
      <c r="G10" s="57"/>
      <c r="H10" s="57"/>
      <c r="I10" s="57"/>
      <c r="J10" s="57"/>
    </row>
    <row r="11" spans="1:10" ht="15" customHeight="1">
      <c r="A11" s="60" t="s">
        <v>95</v>
      </c>
      <c r="B11" s="61"/>
      <c r="C11" s="61"/>
      <c r="D11" s="61"/>
      <c r="E11" s="61"/>
      <c r="F11" s="61"/>
      <c r="G11" s="61"/>
      <c r="H11" s="61"/>
      <c r="I11" s="61"/>
      <c r="J11" s="61"/>
    </row>
    <row r="12" spans="1:10">
      <c r="A12" s="61"/>
      <c r="B12" s="61"/>
      <c r="C12" s="61"/>
      <c r="D12" s="61"/>
      <c r="E12" s="61"/>
      <c r="F12" s="61"/>
      <c r="G12" s="61"/>
      <c r="H12" s="61"/>
      <c r="I12" s="61"/>
      <c r="J12" s="61"/>
    </row>
    <row r="13" spans="1:10">
      <c r="A13" s="61"/>
      <c r="B13" s="61"/>
      <c r="C13" s="61"/>
      <c r="D13" s="61"/>
      <c r="E13" s="61"/>
      <c r="F13" s="61"/>
      <c r="G13" s="61"/>
      <c r="H13" s="61"/>
      <c r="I13" s="61"/>
      <c r="J13" s="61"/>
    </row>
    <row r="14" spans="1:10">
      <c r="A14" s="61"/>
      <c r="B14" s="61"/>
      <c r="C14" s="61"/>
      <c r="D14" s="61"/>
      <c r="E14" s="61"/>
      <c r="F14" s="61"/>
      <c r="G14" s="61"/>
      <c r="H14" s="61"/>
      <c r="I14" s="61"/>
      <c r="J14" s="61"/>
    </row>
    <row r="15" spans="1:10">
      <c r="A15" s="57"/>
      <c r="B15" s="57"/>
      <c r="C15" s="57"/>
      <c r="D15" s="57"/>
      <c r="E15" s="57"/>
      <c r="F15" s="57"/>
      <c r="G15" s="57"/>
      <c r="H15" s="57"/>
      <c r="I15" s="57"/>
      <c r="J15" s="57"/>
    </row>
    <row r="16" spans="1:10">
      <c r="A16" s="60" t="s">
        <v>96</v>
      </c>
      <c r="B16" s="60"/>
      <c r="C16" s="60"/>
      <c r="D16" s="60"/>
      <c r="E16" s="60"/>
      <c r="F16" s="60"/>
      <c r="G16" s="60"/>
      <c r="H16" s="60"/>
      <c r="I16" s="60"/>
      <c r="J16" s="60"/>
    </row>
    <row r="17" spans="1:10">
      <c r="A17" s="60"/>
      <c r="B17" s="60"/>
      <c r="C17" s="60"/>
      <c r="D17" s="60"/>
      <c r="E17" s="60"/>
      <c r="F17" s="60"/>
      <c r="G17" s="60"/>
      <c r="H17" s="60"/>
      <c r="I17" s="60"/>
      <c r="J17" s="60"/>
    </row>
    <row r="18" spans="1:10">
      <c r="A18" s="60"/>
      <c r="B18" s="60"/>
      <c r="C18" s="60"/>
      <c r="D18" s="60"/>
      <c r="E18" s="60"/>
      <c r="F18" s="60"/>
      <c r="G18" s="60"/>
      <c r="H18" s="60"/>
      <c r="I18" s="60"/>
      <c r="J18" s="60"/>
    </row>
  </sheetData>
  <mergeCells count="5">
    <mergeCell ref="A1:J1"/>
    <mergeCell ref="A3:J5"/>
    <mergeCell ref="A11:J14"/>
    <mergeCell ref="A16:J18"/>
    <mergeCell ref="A7:J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575AF-60C3-47DE-8B62-1472077980EC}">
  <dimension ref="A3:I41"/>
  <sheetViews>
    <sheetView topLeftCell="A2" zoomScale="80" zoomScaleNormal="80" workbookViewId="0">
      <selection activeCell="A17" sqref="A17"/>
    </sheetView>
  </sheetViews>
  <sheetFormatPr defaultRowHeight="15"/>
  <cols>
    <col min="1" max="1" width="12" bestFit="1" customWidth="1"/>
    <col min="2" max="2" width="19.5703125" bestFit="1" customWidth="1"/>
    <col min="3" max="7" width="4.5703125" bestFit="1" customWidth="1"/>
    <col min="8" max="8" width="11.28515625" customWidth="1"/>
    <col min="9" max="9" width="9.140625" bestFit="1" customWidth="1"/>
    <col min="10" max="33" width="4.5703125" bestFit="1" customWidth="1"/>
    <col min="34" max="34" width="11.28515625" bestFit="1" customWidth="1"/>
  </cols>
  <sheetData>
    <row r="3" spans="1:9">
      <c r="A3" s="16" t="s">
        <v>66</v>
      </c>
      <c r="B3" t="s">
        <v>65</v>
      </c>
      <c r="F3" s="68" t="s">
        <v>86</v>
      </c>
      <c r="G3" s="68"/>
      <c r="H3" s="68"/>
    </row>
    <row r="4" spans="1:9">
      <c r="A4" s="3" t="s">
        <v>89</v>
      </c>
      <c r="B4" s="6">
        <v>914.72750000000008</v>
      </c>
      <c r="F4" t="s">
        <v>83</v>
      </c>
      <c r="I4" s="6">
        <f>SUM(Data[Revenue])</f>
        <v>2598.9449999999993</v>
      </c>
    </row>
    <row r="5" spans="1:9">
      <c r="A5" s="3" t="s">
        <v>90</v>
      </c>
      <c r="B5" s="6">
        <v>784.61500000000012</v>
      </c>
      <c r="F5" t="s">
        <v>84</v>
      </c>
      <c r="I5" s="5">
        <f>SUM(Data[Profit])</f>
        <v>934.3950000000001</v>
      </c>
    </row>
    <row r="6" spans="1:9">
      <c r="A6" s="3" t="s">
        <v>91</v>
      </c>
      <c r="B6" s="6">
        <v>899.60249999999996</v>
      </c>
      <c r="F6" t="s">
        <v>85</v>
      </c>
      <c r="I6" s="6">
        <f>SUM(Data[Revenue])/COUNTA(Data[Order id])</f>
        <v>64.973624999999984</v>
      </c>
    </row>
    <row r="7" spans="1:9">
      <c r="A7" s="3" t="s">
        <v>64</v>
      </c>
      <c r="B7" s="6">
        <v>2598.9450000000002</v>
      </c>
      <c r="F7" t="s">
        <v>88</v>
      </c>
      <c r="I7">
        <f>COUNT(Data[Order id])</f>
        <v>40</v>
      </c>
    </row>
    <row r="11" spans="1:9">
      <c r="A11" s="16" t="s">
        <v>70</v>
      </c>
      <c r="B11" t="s">
        <v>65</v>
      </c>
    </row>
    <row r="12" spans="1:9">
      <c r="A12" s="3" t="s">
        <v>15</v>
      </c>
      <c r="B12" s="6">
        <v>324.87</v>
      </c>
    </row>
    <row r="13" spans="1:9">
      <c r="A13" s="3" t="s">
        <v>13</v>
      </c>
      <c r="B13" s="6">
        <v>274.89999999999998</v>
      </c>
    </row>
    <row r="14" spans="1:9">
      <c r="A14" s="3" t="s">
        <v>24</v>
      </c>
      <c r="B14" s="6">
        <v>274.89</v>
      </c>
    </row>
    <row r="15" spans="1:9">
      <c r="A15" s="3" t="s">
        <v>5</v>
      </c>
      <c r="B15" s="6">
        <v>274.875</v>
      </c>
    </row>
    <row r="16" spans="1:9">
      <c r="A16" s="3" t="s">
        <v>20</v>
      </c>
      <c r="B16" s="6">
        <v>224.90999999999997</v>
      </c>
    </row>
    <row r="17" spans="1:2">
      <c r="A17" s="3" t="s">
        <v>64</v>
      </c>
      <c r="B17" s="6">
        <v>1374.4449999999997</v>
      </c>
    </row>
    <row r="27" spans="1:2">
      <c r="A27" s="16" t="s">
        <v>67</v>
      </c>
      <c r="B27" t="s">
        <v>65</v>
      </c>
    </row>
    <row r="28" spans="1:2">
      <c r="A28" s="3" t="s">
        <v>17</v>
      </c>
      <c r="B28" s="6">
        <v>704.72500000000002</v>
      </c>
    </row>
    <row r="29" spans="1:2">
      <c r="A29" s="3" t="s">
        <v>7</v>
      </c>
      <c r="B29" s="6">
        <v>759.82249999999999</v>
      </c>
    </row>
    <row r="30" spans="1:2">
      <c r="A30" s="3" t="s">
        <v>9</v>
      </c>
      <c r="B30" s="6">
        <v>574.69000000000005</v>
      </c>
    </row>
    <row r="31" spans="1:2">
      <c r="A31" s="3" t="s">
        <v>11</v>
      </c>
      <c r="B31" s="6">
        <v>559.7075000000001</v>
      </c>
    </row>
    <row r="32" spans="1:2">
      <c r="A32" s="3" t="s">
        <v>64</v>
      </c>
      <c r="B32" s="6">
        <v>2598.9450000000002</v>
      </c>
    </row>
    <row r="36" spans="1:2">
      <c r="A36" s="16" t="s">
        <v>71</v>
      </c>
      <c r="B36" t="s">
        <v>82</v>
      </c>
    </row>
    <row r="37" spans="1:2">
      <c r="A37" s="3" t="s">
        <v>16</v>
      </c>
      <c r="B37" s="1">
        <v>0.35137776215895139</v>
      </c>
    </row>
    <row r="38" spans="1:2">
      <c r="A38" s="3" t="s">
        <v>25</v>
      </c>
      <c r="B38" s="1">
        <v>0.34871574598838234</v>
      </c>
    </row>
    <row r="39" spans="1:2">
      <c r="A39" s="3" t="s">
        <v>21</v>
      </c>
      <c r="B39" s="1">
        <v>0.32923119237358139</v>
      </c>
    </row>
    <row r="40" spans="1:2">
      <c r="A40" s="3" t="s">
        <v>6</v>
      </c>
      <c r="B40" s="1">
        <v>0.35926447644467363</v>
      </c>
    </row>
    <row r="41" spans="1:2">
      <c r="A41" s="3" t="s">
        <v>64</v>
      </c>
      <c r="B41" s="1">
        <v>0.3488223819359248</v>
      </c>
    </row>
  </sheetData>
  <mergeCells count="1">
    <mergeCell ref="F3:H3"/>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57E3B8-C57F-46ED-B83D-3BC3A68BC8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Notes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Francinie Pizarro Espinoza</dc:creator>
  <cp:lastModifiedBy>Francinie Pizarro Espinoza</cp:lastModifiedBy>
  <dcterms:created xsi:type="dcterms:W3CDTF">2026-05-20T00:30:42Z</dcterms:created>
  <dcterms:modified xsi:type="dcterms:W3CDTF">2026-05-27T05:23:00Z</dcterms:modified>
</cp:coreProperties>
</file>