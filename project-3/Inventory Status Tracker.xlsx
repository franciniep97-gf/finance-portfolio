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aa57bc681f1a5f7/Escritorio/POWER QUERY/"/>
    </mc:Choice>
  </mc:AlternateContent>
  <xr:revisionPtr revIDLastSave="8" documentId="8_{F2B32BB9-092A-482F-90EC-1BCBC72CC85C}" xr6:coauthVersionLast="47" xr6:coauthVersionMax="47" xr10:uidLastSave="{4632BA33-F3D6-4087-94D4-22934974A5B6}"/>
  <bookViews>
    <workbookView xWindow="0" yWindow="0" windowWidth="20490" windowHeight="10920" tabRatio="500" xr2:uid="{00000000-000D-0000-FFFF-FFFF00000000}"/>
  </bookViews>
  <sheets>
    <sheet name="Inventory" sheetId="4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4" l="1"/>
  <c r="F12" i="4" s="1"/>
  <c r="G12" i="4" s="1"/>
  <c r="E11" i="4"/>
  <c r="F11" i="4" s="1"/>
  <c r="G11" i="4" s="1"/>
  <c r="E10" i="4"/>
  <c r="H10" i="4" s="1"/>
  <c r="E9" i="4"/>
  <c r="H9" i="4" s="1"/>
  <c r="E8" i="4"/>
  <c r="F8" i="4" s="1"/>
  <c r="G8" i="4" s="1"/>
  <c r="E7" i="4"/>
  <c r="F7" i="4" s="1"/>
  <c r="G7" i="4" s="1"/>
  <c r="E6" i="4"/>
  <c r="F6" i="4" s="1"/>
  <c r="G6" i="4" s="1"/>
  <c r="E5" i="4"/>
  <c r="H5" i="4" s="1"/>
  <c r="E4" i="4"/>
  <c r="F4" i="4" s="1"/>
  <c r="G4" i="4" s="1"/>
  <c r="E3" i="4"/>
  <c r="H3" i="4" s="1"/>
  <c r="H12" i="4" l="1"/>
  <c r="H8" i="4"/>
  <c r="H4" i="4"/>
  <c r="F10" i="4"/>
  <c r="G10" i="4" s="1"/>
  <c r="H11" i="4"/>
  <c r="H7" i="4"/>
  <c r="F3" i="4"/>
  <c r="G3" i="4" s="1"/>
  <c r="F9" i="4"/>
  <c r="G9" i="4" s="1"/>
  <c r="F5" i="4"/>
  <c r="G5" i="4" s="1"/>
  <c r="H6" i="4"/>
</calcChain>
</file>

<file path=xl/sharedStrings.xml><?xml version="1.0" encoding="utf-8"?>
<sst xmlns="http://schemas.openxmlformats.org/spreadsheetml/2006/main" count="20" uniqueCount="20">
  <si>
    <t>Reloj Plateado</t>
  </si>
  <si>
    <t>Camiseta Azul S</t>
  </si>
  <si>
    <t>Camiseta Azul M</t>
  </si>
  <si>
    <t>Camiseta Azul L</t>
  </si>
  <si>
    <t>Zapatos Talla 38</t>
  </si>
  <si>
    <t>Zapatos Talla 40</t>
  </si>
  <si>
    <t>Bolso Cuero Negro</t>
  </si>
  <si>
    <t>Bolso Cuero Café</t>
  </si>
  <si>
    <t>Pantalón Negro 30</t>
  </si>
  <si>
    <t>Pantalón Negro 32</t>
  </si>
  <si>
    <t>Current Stock</t>
  </si>
  <si>
    <t>Product</t>
  </si>
  <si>
    <t>Reorder Point</t>
  </si>
  <si>
    <t>Units in Transit</t>
  </si>
  <si>
    <t>Real Stock
(=Current+intransit)</t>
  </si>
  <si>
    <t>Needs Reorder?</t>
  </si>
  <si>
    <t>Units to Order</t>
  </si>
  <si>
    <t>Status</t>
  </si>
  <si>
    <t>Inventory Status Report — Q1 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</si>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</sst>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sz val="10"/>
      <color rgb="FF375623"/>
      <name val="Arial"/>
      <charset val="1"/>
    </font>
    <font>
      <i/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4" tint="0.39997558519241921"/>
        <bgColor rgb="FF800000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39997558519241921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70AD47"/>
      <rgbColor rgb="FF003300"/>
      <rgbColor rgb="FF1E5631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tabSelected="1" zoomScaleNormal="100" workbookViewId="0">
      <selection activeCell="L15" sqref="L15"/>
    </sheetView>
  </sheetViews>
  <sheetFormatPr defaultColWidth="8.7109375" defaultRowHeight="15" x14ac:dyDescent="0.25"/>
  <cols>
    <col min="1" max="1" width="16.7109375" customWidth="1"/>
    <col min="2" max="2" width="12" customWidth="1"/>
    <col min="3" max="3" width="15" customWidth="1"/>
    <col min="4" max="4" width="14.5703125" bestFit="1" customWidth="1"/>
    <col min="5" max="5" width="18.7109375" customWidth="1"/>
    <col min="6" max="6" width="9.42578125" bestFit="1" customWidth="1"/>
    <col min="7" max="7" width="8.28515625" customWidth="1"/>
    <col min="8" max="8" width="11" customWidth="1"/>
  </cols>
  <sheetData>
    <row r="1" spans="1:14" ht="29.25" customHeight="1" x14ac:dyDescent="0.25">
      <c r="A1" s="8" t="s">
        <v>18</v>
      </c>
      <c r="B1" s="8"/>
      <c r="C1" s="8"/>
      <c r="D1" s="8"/>
      <c r="E1" s="8"/>
      <c r="F1" s="8"/>
      <c r="G1" s="8"/>
      <c r="H1" s="8"/>
    </row>
    <row r="2" spans="1:14" ht="34.5" customHeight="1" x14ac:dyDescent="0.25">
      <c r="A2" s="7" t="s">
        <v>11</v>
      </c>
      <c r="B2" s="7" t="s">
        <v>10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</row>
    <row r="3" spans="1:14" x14ac:dyDescent="0.25">
      <c r="A3" s="3" t="s">
        <v>1</v>
      </c>
      <c r="B3" s="4">
        <v>45</v>
      </c>
      <c r="C3" s="4">
        <v>20</v>
      </c>
      <c r="D3" s="4">
        <v>0</v>
      </c>
      <c r="E3" s="5">
        <f t="shared" ref="E3:E12" si="0">B3+D3</f>
        <v>45</v>
      </c>
      <c r="F3" s="6" t="str">
        <f t="shared" ref="F3:F12" si="1">IF(E3&lt;=C3,"YES","NO")</f>
        <v>NO</v>
      </c>
      <c r="G3" s="6">
        <f>IF(F3="Yes",C3*3-E3,0)</f>
        <v>0</v>
      </c>
      <c r="H3" s="6" t="str">
        <f t="shared" ref="H3:H12" si="2">IF(E3=0,"STOCKOUT",IF(E3&lt;=C3,"CRITICAL","OK"))</f>
        <v>OK</v>
      </c>
    </row>
    <row r="4" spans="1:14" x14ac:dyDescent="0.25">
      <c r="A4" s="1" t="s">
        <v>2</v>
      </c>
      <c r="B4" s="2">
        <v>8</v>
      </c>
      <c r="C4" s="2">
        <v>20</v>
      </c>
      <c r="D4" s="2">
        <v>10</v>
      </c>
      <c r="E4" s="5">
        <f t="shared" si="0"/>
        <v>18</v>
      </c>
      <c r="F4" s="6" t="str">
        <f t="shared" si="1"/>
        <v>YES</v>
      </c>
      <c r="G4" s="6">
        <f>IF(F4="Yes",C4*3-E4,0)</f>
        <v>42</v>
      </c>
      <c r="H4" s="6" t="str">
        <f t="shared" si="2"/>
        <v>CRITICAL</v>
      </c>
    </row>
    <row r="5" spans="1:14" x14ac:dyDescent="0.25">
      <c r="A5" s="3" t="s">
        <v>3</v>
      </c>
      <c r="B5" s="4">
        <v>3</v>
      </c>
      <c r="C5" s="4">
        <v>20</v>
      </c>
      <c r="D5" s="4">
        <v>0</v>
      </c>
      <c r="E5" s="5">
        <f t="shared" si="0"/>
        <v>3</v>
      </c>
      <c r="F5" s="6" t="str">
        <f t="shared" si="1"/>
        <v>YES</v>
      </c>
      <c r="G5" s="6">
        <f>IF(F5="Yes",C5*3-E5,0)</f>
        <v>57</v>
      </c>
      <c r="H5" s="6" t="str">
        <f t="shared" si="2"/>
        <v>CRITICAL</v>
      </c>
    </row>
    <row r="6" spans="1:14" x14ac:dyDescent="0.25">
      <c r="A6" s="1" t="s">
        <v>4</v>
      </c>
      <c r="B6" s="2">
        <v>0</v>
      </c>
      <c r="C6" s="2">
        <v>5</v>
      </c>
      <c r="D6" s="2">
        <v>0</v>
      </c>
      <c r="E6" s="5">
        <f t="shared" si="0"/>
        <v>0</v>
      </c>
      <c r="F6" s="6" t="str">
        <f t="shared" si="1"/>
        <v>YES</v>
      </c>
      <c r="G6" s="6">
        <f t="shared" ref="G6:G12" si="3">IF(F6="Yes",C6*3-E6,0)</f>
        <v>15</v>
      </c>
      <c r="H6" s="6" t="str">
        <f t="shared" si="2"/>
        <v>STOCKOUT</v>
      </c>
    </row>
    <row r="7" spans="1:14" x14ac:dyDescent="0.25">
      <c r="A7" s="3" t="s">
        <v>5</v>
      </c>
      <c r="B7" s="4">
        <v>12</v>
      </c>
      <c r="C7" s="4">
        <v>5</v>
      </c>
      <c r="D7" s="4">
        <v>0</v>
      </c>
      <c r="E7" s="5">
        <f t="shared" si="0"/>
        <v>12</v>
      </c>
      <c r="F7" s="6" t="str">
        <f t="shared" si="1"/>
        <v>NO</v>
      </c>
      <c r="G7" s="6">
        <f t="shared" si="3"/>
        <v>0</v>
      </c>
      <c r="H7" s="6" t="str">
        <f t="shared" si="2"/>
        <v>OK</v>
      </c>
    </row>
    <row r="8" spans="1:14" x14ac:dyDescent="0.25">
      <c r="A8" s="1" t="s">
        <v>6</v>
      </c>
      <c r="B8" s="2">
        <v>2</v>
      </c>
      <c r="C8" s="2">
        <v>3</v>
      </c>
      <c r="D8" s="2">
        <v>5</v>
      </c>
      <c r="E8" s="5">
        <f t="shared" si="0"/>
        <v>7</v>
      </c>
      <c r="F8" s="6" t="str">
        <f t="shared" si="1"/>
        <v>NO</v>
      </c>
      <c r="G8" s="6">
        <f t="shared" si="3"/>
        <v>0</v>
      </c>
      <c r="H8" s="6" t="str">
        <f t="shared" si="2"/>
        <v>OK</v>
      </c>
      <c r="N8" t="s">
        <v>19</v>
      </c>
    </row>
    <row r="9" spans="1:14" x14ac:dyDescent="0.25">
      <c r="A9" s="3" t="s">
        <v>7</v>
      </c>
      <c r="B9" s="4">
        <v>0</v>
      </c>
      <c r="C9" s="4">
        <v>3</v>
      </c>
      <c r="D9" s="4">
        <v>0</v>
      </c>
      <c r="E9" s="5">
        <f t="shared" si="0"/>
        <v>0</v>
      </c>
      <c r="F9" s="6" t="str">
        <f t="shared" si="1"/>
        <v>YES</v>
      </c>
      <c r="G9" s="6">
        <f t="shared" si="3"/>
        <v>9</v>
      </c>
      <c r="H9" s="6" t="str">
        <f t="shared" si="2"/>
        <v>STOCKOUT</v>
      </c>
    </row>
    <row r="10" spans="1:14" x14ac:dyDescent="0.25">
      <c r="A10" s="1" t="s">
        <v>8</v>
      </c>
      <c r="B10" s="2">
        <v>25</v>
      </c>
      <c r="C10" s="2">
        <v>10</v>
      </c>
      <c r="D10" s="2">
        <v>0</v>
      </c>
      <c r="E10" s="5">
        <f t="shared" si="0"/>
        <v>25</v>
      </c>
      <c r="F10" s="6" t="str">
        <f t="shared" si="1"/>
        <v>NO</v>
      </c>
      <c r="G10" s="6">
        <f t="shared" si="3"/>
        <v>0</v>
      </c>
      <c r="H10" s="6" t="str">
        <f t="shared" si="2"/>
        <v>OK</v>
      </c>
    </row>
    <row r="11" spans="1:14" x14ac:dyDescent="0.25">
      <c r="A11" s="3" t="s">
        <v>9</v>
      </c>
      <c r="B11" s="4">
        <v>7</v>
      </c>
      <c r="C11" s="4">
        <v>10</v>
      </c>
      <c r="D11" s="4">
        <v>0</v>
      </c>
      <c r="E11" s="5">
        <f t="shared" si="0"/>
        <v>7</v>
      </c>
      <c r="F11" s="6" t="str">
        <f t="shared" si="1"/>
        <v>YES</v>
      </c>
      <c r="G11" s="6">
        <f t="shared" si="3"/>
        <v>23</v>
      </c>
      <c r="H11" s="6" t="str">
        <f t="shared" si="2"/>
        <v>CRITICAL</v>
      </c>
    </row>
    <row r="12" spans="1:14" x14ac:dyDescent="0.25">
      <c r="A12" s="1" t="s">
        <v>0</v>
      </c>
      <c r="B12" s="2">
        <v>1</v>
      </c>
      <c r="C12" s="2">
        <v>2</v>
      </c>
      <c r="D12" s="2">
        <v>3</v>
      </c>
      <c r="E12" s="5">
        <f t="shared" si="0"/>
        <v>4</v>
      </c>
      <c r="F12" s="6" t="str">
        <f t="shared" si="1"/>
        <v>NO</v>
      </c>
      <c r="G12" s="6">
        <f t="shared" si="3"/>
        <v>0</v>
      </c>
      <c r="H12" s="6" t="str">
        <f t="shared" si="2"/>
        <v>OK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845097CB-DFB2-46D5-B492-9D14B9205024}">
            <xm:f>NOT(ISERROR(SEARCH($H$3,H3)))</xm:f>
            <xm:f>$H$3</xm:f>
            <x14:dxf>
              <fill>
                <patternFill>
                  <bgColor rgb="FF92D050"/>
                </patternFill>
              </fill>
            </x14:dxf>
          </x14:cfRule>
          <xm:sqref>H3:H12</xm:sqref>
        </x14:conditionalFormatting>
        <x14:conditionalFormatting xmlns:xm="http://schemas.microsoft.com/office/excel/2006/main">
          <x14:cfRule type="containsText" priority="2" operator="containsText" id="{0299C1FF-402D-4C63-84B9-3F199ECF5F0E}">
            <xm:f>NOT(ISERROR(SEARCH($H$4,H4)))</xm:f>
            <xm:f>$H$4</xm:f>
            <x14:dxf>
              <fill>
                <patternFill>
                  <bgColor rgb="FFFFFF00"/>
                </patternFill>
              </fill>
            </x14:dxf>
          </x14:cfRule>
          <xm:sqref>H4:H5 H11</xm:sqref>
        </x14:conditionalFormatting>
        <x14:conditionalFormatting xmlns:xm="http://schemas.microsoft.com/office/excel/2006/main">
          <x14:cfRule type="containsText" priority="1" operator="containsText" id="{CD5450BA-4828-4254-BE87-A478AF9B72D7}">
            <xm:f>NOT(ISERROR(SEARCH($H$6,H6)))</xm:f>
            <xm:f>$H$6</xm:f>
            <x14:dxf>
              <fill>
                <patternFill>
                  <bgColor rgb="FFC00000"/>
                </patternFill>
              </fill>
            </x14:dxf>
          </x14:cfRule>
          <xm:sqref>H6 H9 J11</xm:sqref>
        </x14:conditionalFormatting>
        <x14:conditionalFormatting xmlns:xm="http://schemas.microsoft.com/office/excel/2006/main">
          <x14:cfRule type="containsText" priority="4" operator="containsText" id="{4849E03A-55BC-407F-AEF3-05CAFFF73A93}">
            <xm:f>NOT(ISERROR(SEARCH($H$4,K11)))</xm:f>
            <xm:f>$H$4</xm:f>
            <x14:dxf>
              <fill>
                <patternFill>
                  <bgColor rgb="FFFFFF00"/>
                </patternFill>
              </fill>
            </x14:dxf>
          </x14:cfRule>
          <xm:sqref>K11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Francinie Pizarro Espinoza</cp:lastModifiedBy>
  <cp:revision>0</cp:revision>
  <dcterms:created xsi:type="dcterms:W3CDTF">2026-03-08T21:40:04Z</dcterms:created>
  <dcterms:modified xsi:type="dcterms:W3CDTF">2026-05-08T22:16:37Z</dcterms:modified>
  <dc:language>en-US</dc:language>
</cp:coreProperties>
</file>